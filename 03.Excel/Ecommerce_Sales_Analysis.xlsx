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3.Excel\"/>
    </mc:Choice>
  </mc:AlternateContent>
  <xr:revisionPtr revIDLastSave="0" documentId="8_{52C8E34C-56BB-4F89-9DCF-DC6D1204FEED}" xr6:coauthVersionLast="47" xr6:coauthVersionMax="47" xr10:uidLastSave="{00000000-0000-0000-0000-000000000000}"/>
  <bookViews>
    <workbookView xWindow="-120" yWindow="-120" windowWidth="20730" windowHeight="11160" firstSheet="1" activeTab="1" xr2:uid="{BD6E9718-EB1B-4868-BC86-FEE37D99213F}"/>
  </bookViews>
  <sheets>
    <sheet name="Orders_Details" sheetId="1" r:id="rId1"/>
    <sheet name="Dashboard" sheetId="12" r:id="rId2"/>
    <sheet name="Total_Profit" sheetId="11" r:id="rId3"/>
    <sheet name="Average_Orders_Values" sheetId="10" r:id="rId4"/>
    <sheet name="Category_Performance" sheetId="9" r:id="rId5"/>
    <sheet name="Monthly_Sales" sheetId="3" r:id="rId6"/>
    <sheet name="Top_Product" sheetId="4" r:id="rId7"/>
    <sheet name="Product_Revenue" sheetId="5" r:id="rId8"/>
    <sheet name="Customer_Revenue" sheetId="8" r:id="rId9"/>
  </sheets>
  <externalReferences>
    <externalReference r:id="rId10"/>
  </externalReferences>
  <calcPr calcId="181029"/>
  <pivotCaches>
    <pivotCache cacheId="5" r:id="rId11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2" l="1"/>
  <c r="D5" i="12"/>
  <c r="D6" i="10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B5" i="12"/>
  <c r="C5" i="12"/>
  <c r="I30" i="1" l="1"/>
  <c r="I26" i="1"/>
  <c r="I22" i="1"/>
  <c r="I18" i="1"/>
  <c r="I14" i="1"/>
  <c r="I10" i="1"/>
  <c r="I6" i="1"/>
  <c r="I2" i="1"/>
  <c r="I31" i="1"/>
  <c r="I19" i="1"/>
  <c r="I15" i="1"/>
  <c r="I7" i="1"/>
  <c r="I27" i="1"/>
  <c r="I23" i="1"/>
  <c r="I11" i="1"/>
  <c r="I3" i="1"/>
  <c r="I29" i="1"/>
  <c r="I25" i="1"/>
  <c r="I21" i="1"/>
  <c r="I17" i="1"/>
  <c r="I13" i="1"/>
  <c r="I9" i="1"/>
  <c r="I5" i="1"/>
  <c r="I28" i="1"/>
  <c r="I24" i="1"/>
  <c r="I20" i="1"/>
  <c r="I16" i="1"/>
  <c r="I12" i="1"/>
  <c r="I8" i="1"/>
  <c r="I4" i="1"/>
</calcChain>
</file>

<file path=xl/sharedStrings.xml><?xml version="1.0" encoding="utf-8"?>
<sst xmlns="http://schemas.openxmlformats.org/spreadsheetml/2006/main" count="81" uniqueCount="45">
  <si>
    <t>order_id</t>
  </si>
  <si>
    <t>product_id</t>
  </si>
  <si>
    <t>quantity</t>
  </si>
  <si>
    <t>unit_price</t>
  </si>
  <si>
    <t>product_name</t>
  </si>
  <si>
    <t>revenue</t>
  </si>
  <si>
    <t>category</t>
  </si>
  <si>
    <t>cost</t>
  </si>
  <si>
    <t>profit</t>
  </si>
  <si>
    <t>order_status</t>
  </si>
  <si>
    <t>order_date</t>
  </si>
  <si>
    <t>Row Labels</t>
  </si>
  <si>
    <t>Grand Total</t>
  </si>
  <si>
    <t>Thg1</t>
  </si>
  <si>
    <t>Thg2</t>
  </si>
  <si>
    <t>Thg3</t>
  </si>
  <si>
    <t>Thg4</t>
  </si>
  <si>
    <t>Thg5</t>
  </si>
  <si>
    <t>Sum of revenue</t>
  </si>
  <si>
    <t>Completed</t>
  </si>
  <si>
    <t>Sum of quantity</t>
  </si>
  <si>
    <t>customer_id</t>
  </si>
  <si>
    <t>Beauty</t>
  </si>
  <si>
    <t>Electronics</t>
  </si>
  <si>
    <t>Fashion</t>
  </si>
  <si>
    <t>Home &amp; Kitchen</t>
  </si>
  <si>
    <t>Sports</t>
  </si>
  <si>
    <t>Average_Orders_Values</t>
  </si>
  <si>
    <t>Sum of profit</t>
  </si>
  <si>
    <t>E-COMMERCE SALES DASHBOARD</t>
  </si>
  <si>
    <t>TOTAL REVENUE</t>
  </si>
  <si>
    <t>TOTAL PROFIT</t>
  </si>
  <si>
    <t>AVERAGE ORDER VALUE</t>
  </si>
  <si>
    <t>TOP PRODUCT</t>
  </si>
  <si>
    <t>Laptop Basic</t>
  </si>
  <si>
    <t>Coffee Maker</t>
  </si>
  <si>
    <t>Running Shoes</t>
  </si>
  <si>
    <t>Mechanical Keyboard</t>
  </si>
  <si>
    <t>Wireless Mouse</t>
  </si>
  <si>
    <t>Skincare Set</t>
  </si>
  <si>
    <t>Water Bottle</t>
  </si>
  <si>
    <t>Yoga Mat</t>
  </si>
  <si>
    <t>T-Shirt</t>
  </si>
  <si>
    <t>Face Cleanser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</si>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</sst>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right" vertical="center" textRotation="0" wrapText="1" indent="0" justifyLastLine="0" shrinkToFit="0" readingOrder="0"/>
    </dxf>
    <dxf>
      <numFmt numFmtId="19" formatCode="dd/mm/yyyy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[Ecommerce_Sales_Analysis.xlsx]Monthly_Sales!PivotTable2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Monthly Sales Trend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Monthly_Sales!$A$4:$A$9</c:f>
              <c:strCache>
                <c:ptCount val="5"/>
                <c:pt idx="0">
                  <c:v>Thg1</c:v>
                </c:pt>
                <c:pt idx="1">
                  <c:v>Thg2</c:v>
                </c:pt>
                <c:pt idx="2">
                  <c:v>Thg3</c:v>
                </c:pt>
                <c:pt idx="3">
                  <c:v>Thg4</c:v>
                </c:pt>
                <c:pt idx="4">
                  <c:v>Thg5</c:v>
                </c:pt>
              </c:strCache>
            </c:strRef>
          </c:cat>
          <c:val>
            <c:numRef>
              <c:f>Monthly_Sales!$B$4:$B$9</c:f>
              <c:numCache>
                <c:formatCode>General</c:formatCode>
                <c:ptCount val="5"/>
                <c:pt idx="0">
                  <c:v>21350000</c:v>
                </c:pt>
                <c:pt idx="1">
                  <c:v>3000000</c:v>
                </c:pt>
                <c:pt idx="2">
                  <c:v>10500000</c:v>
                </c:pt>
                <c:pt idx="3">
                  <c:v>22800000</c:v>
                </c:pt>
                <c:pt idx="4">
                  <c:v>2100000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E-4C2F-A087-1BC69E2E6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2240"/>
        <c:axId val="552797560"/>
      </c:lineChart>
      <c:catAx>
        <c:axId val="55280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52797560"/>
        <c:crosses val="autoZero"/>
        <c:auto val="1"/>
        <c:lblAlgn val="ctr"/>
        <c:lblOffset val="100"/>
        <c:noMultiLvlLbl val="0"/>
      </c:catAx>
      <c:valAx>
        <c:axId val="55279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5280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[Ecommerce_Sales_Analysis.xlsx]Top_Product!PivotTable3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Units Sold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55501664634078"/>
          <c:y val="0.13971578289276909"/>
          <c:w val="0.8501108522483378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Top_Product!$A$4:$A$14</c:f>
              <c:strCache>
                <c:ptCount val="10"/>
                <c:pt idx="0">
                  <c:v>Wireless Mouse</c:v>
                </c:pt>
                <c:pt idx="1">
                  <c:v>Water Bottle</c:v>
                </c:pt>
                <c:pt idx="2">
                  <c:v>Skincare Set</c:v>
                </c:pt>
                <c:pt idx="3">
                  <c:v>Face Cleanser</c:v>
                </c:pt>
                <c:pt idx="4">
                  <c:v>Yoga Mat</c:v>
                </c:pt>
                <c:pt idx="5">
                  <c:v>Coffee Maker</c:v>
                </c:pt>
                <c:pt idx="6">
                  <c:v>T-Shirt</c:v>
                </c:pt>
                <c:pt idx="7">
                  <c:v>Mechanical Keyboard</c:v>
                </c:pt>
                <c:pt idx="8">
                  <c:v>Running Shoes</c:v>
                </c:pt>
                <c:pt idx="9">
                  <c:v>Laptop Basic</c:v>
                </c:pt>
              </c:strCache>
            </c:strRef>
          </c:cat>
          <c:val>
            <c:numRef>
              <c:f>Top_Product!$B$4:$B$14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3-414A-96F8-181BADD59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558376"/>
        <c:axId val="398558736"/>
      </c:barChart>
      <c:catAx>
        <c:axId val="398558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98558736"/>
        <c:crosses val="autoZero"/>
        <c:auto val="1"/>
        <c:lblAlgn val="ctr"/>
        <c:lblOffset val="100"/>
        <c:noMultiLvlLbl val="0"/>
      </c:catAx>
      <c:valAx>
        <c:axId val="3985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9855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[Ecommerce_Sales_Analysis.xlsx]Category_Performance!PivotTable8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Category_Performance!$A$4:$A$9</c:f>
              <c:strCache>
                <c:ptCount val="5"/>
                <c:pt idx="0">
                  <c:v>Electronics</c:v>
                </c:pt>
                <c:pt idx="1">
                  <c:v>Home &amp; Kitchen</c:v>
                </c:pt>
                <c:pt idx="2">
                  <c:v>Sports</c:v>
                </c:pt>
                <c:pt idx="3">
                  <c:v>Beauty</c:v>
                </c:pt>
                <c:pt idx="4">
                  <c:v>Fashion</c:v>
                </c:pt>
              </c:strCache>
            </c:strRef>
          </c:cat>
          <c:val>
            <c:numRef>
              <c:f>Category_Performance!$B$4:$B$9</c:f>
              <c:numCache>
                <c:formatCode>General</c:formatCode>
                <c:ptCount val="5"/>
                <c:pt idx="0">
                  <c:v>37200000</c:v>
                </c:pt>
                <c:pt idx="1">
                  <c:v>10300000</c:v>
                </c:pt>
                <c:pt idx="2">
                  <c:v>6800000</c:v>
                </c:pt>
                <c:pt idx="3">
                  <c:v>4400000</c:v>
                </c:pt>
                <c:pt idx="4">
                  <c:v>1050000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8-4AFB-B669-A4D7772B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915576"/>
        <c:axId val="552798640"/>
      </c:barChart>
      <c:catAx>
        <c:axId val="54891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52798640"/>
        <c:crosses val="autoZero"/>
        <c:auto val="1"/>
        <c:lblAlgn val="ctr"/>
        <c:lblOffset val="100"/>
        <c:noMultiLvlLbl val="0"/>
      </c:catAx>
      <c:valAx>
        <c:axId val="5527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4891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[Ecommerce_Sales_Analysis.xlsx]Product_Revenue!PivotTable4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Product_Revenue!$A$4:$A$14</c:f>
              <c:strCache>
                <c:ptCount val="10"/>
                <c:pt idx="0">
                  <c:v>Laptop Basic</c:v>
                </c:pt>
                <c:pt idx="1">
                  <c:v>Coffee Maker</c:v>
                </c:pt>
                <c:pt idx="2">
                  <c:v>Running Shoes</c:v>
                </c:pt>
                <c:pt idx="3">
                  <c:v>Wireless Mouse</c:v>
                </c:pt>
                <c:pt idx="4">
                  <c:v>Mechanical Keyboard</c:v>
                </c:pt>
                <c:pt idx="5">
                  <c:v>Skincare Set</c:v>
                </c:pt>
                <c:pt idx="6">
                  <c:v>Water Bottle</c:v>
                </c:pt>
                <c:pt idx="7">
                  <c:v>Yoga Mat</c:v>
                </c:pt>
                <c:pt idx="8">
                  <c:v>T-Shirt</c:v>
                </c:pt>
                <c:pt idx="9">
                  <c:v>Face Cleanser</c:v>
                </c:pt>
              </c:strCache>
            </c:strRef>
          </c:cat>
          <c:val>
            <c:numRef>
              <c:f>Product_Revenue!$B$4:$B$14</c:f>
              <c:numCache>
                <c:formatCode>General</c:formatCode>
                <c:ptCount val="10"/>
                <c:pt idx="0">
                  <c:v>30000000</c:v>
                </c:pt>
                <c:pt idx="1">
                  <c:v>8800000</c:v>
                </c:pt>
                <c:pt idx="2">
                  <c:v>5400000</c:v>
                </c:pt>
                <c:pt idx="3">
                  <c:v>3600000</c:v>
                </c:pt>
                <c:pt idx="4">
                  <c:v>3600000</c:v>
                </c:pt>
                <c:pt idx="5">
                  <c:v>3400000</c:v>
                </c:pt>
                <c:pt idx="6">
                  <c:v>1500000</c:v>
                </c:pt>
                <c:pt idx="7">
                  <c:v>1400000</c:v>
                </c:pt>
                <c:pt idx="8">
                  <c:v>1050000</c:v>
                </c:pt>
                <c:pt idx="9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5-46B3-B778-8FD1ECDC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50336"/>
        <c:axId val="632052856"/>
      </c:barChart>
      <c:catAx>
        <c:axId val="6320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32052856"/>
        <c:crosses val="autoZero"/>
        <c:auto val="1"/>
        <c:lblAlgn val="ctr"/>
        <c:lblOffset val="100"/>
        <c:noMultiLvlLbl val="0"/>
      </c:catAx>
      <c:valAx>
        <c:axId val="63205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3205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6</xdr:row>
      <xdr:rowOff>114300</xdr:rowOff>
    </xdr:from>
    <xdr:to>
      <xdr:col>4</xdr:col>
      <xdr:colOff>1790700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B7A8B-86B5-420A-892B-BE3BAB146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280864</xdr:colOff>
      <xdr:row>23</xdr:row>
      <xdr:rowOff>161925</xdr:rowOff>
    </xdr:from>
    <xdr:to>
      <xdr:col>3</xdr:col>
      <xdr:colOff>1526442</xdr:colOff>
      <xdr:row>39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0AEF87-DEAD-41E4-A879-5687286AD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53241</xdr:colOff>
      <xdr:row>24</xdr:row>
      <xdr:rowOff>0</xdr:rowOff>
    </xdr:from>
    <xdr:to>
      <xdr:col>9</xdr:col>
      <xdr:colOff>305288</xdr:colOff>
      <xdr:row>39</xdr:row>
      <xdr:rowOff>73757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8F930A-C724-4280-8920-38D5CE8A2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1866900</xdr:colOff>
      <xdr:row>40</xdr:row>
      <xdr:rowOff>161925</xdr:rowOff>
    </xdr:from>
    <xdr:to>
      <xdr:col>4</xdr:col>
      <xdr:colOff>1809750</xdr:colOff>
      <xdr:row>56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5CF65C-E902-4A15-9489-6F14E4A4A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-comerce%20Sales%20Analytics\01.Data\Orders.xlsx" TargetMode="External"/><Relationship Id="rId1" Type="http://schemas.openxmlformats.org/officeDocument/2006/relationships/externalLinkPath" Target="/E-comerce%20Sales%20Analytics/01.Data/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rders"/>
    </sheet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780480092595" createdVersion="8" refreshedVersion="8" minRefreshableVersion="3" recordCount="30" xr:uid="{362AE353-855A-4325-A284-757F105C7510}">
  <cacheSource type="worksheet">
    <worksheetSource name="Table1"/>
  </cacheSource>
  <cacheFields count="14">
    <cacheField name="order_id" numFmtId="0">
      <sharedItems containsSemiMixedTypes="0" containsString="0" containsNumber="1" containsInteger="1" minValue="10001" maxValue="10015" count="15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</sharedItems>
    </cacheField>
    <cacheField name="product_id" numFmtId="0">
      <sharedItems containsSemiMixedTypes="0" containsString="0" containsNumber="1" containsInteger="1" minValue="1001" maxValue="1010" count="10">
        <n v="1001"/>
        <n v="1002"/>
        <n v="1004"/>
        <n v="1005"/>
        <n v="1008"/>
        <n v="1009"/>
        <n v="1003"/>
        <n v="1007"/>
        <n v="1006"/>
        <n v="1010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containsInteger="1" minValue="250000" maxValue="15000000"/>
    </cacheField>
    <cacheField name="revenue" numFmtId="0">
      <sharedItems containsSemiMixedTypes="0" containsString="0" containsNumber="1" containsInteger="1" minValue="250000" maxValue="15000000"/>
    </cacheField>
    <cacheField name="product_name" numFmtId="0">
      <sharedItems count="10">
        <s v="Laptop Basic"/>
        <s v="Wireless Mouse"/>
        <s v="Running Shoes"/>
        <s v="Yoga Mat"/>
        <s v="Coffee Maker"/>
        <s v="Water Bottle"/>
        <s v="Mechanical Keyboard"/>
        <s v="Skincare Set"/>
        <s v="Face Cleanser"/>
        <s v="T-Shirt"/>
      </sharedItems>
    </cacheField>
    <cacheField name="category" numFmtId="0">
      <sharedItems count="5">
        <s v="Electronics"/>
        <s v="Sports"/>
        <s v="Home &amp; Kitchen"/>
        <s v="Beauty"/>
        <s v="Fashion"/>
      </sharedItems>
    </cacheField>
    <cacheField name="cost" numFmtId="0">
      <sharedItems containsSemiMixedTypes="0" containsString="0" containsNumber="1" containsInteger="1" minValue="120000" maxValue="12000000"/>
    </cacheField>
    <cacheField name="profit" numFmtId="0">
      <sharedItems containsSemiMixedTypes="0" containsString="0" containsNumber="1" containsInteger="1" minValue="130000" maxValue="3000000"/>
    </cacheField>
    <cacheField name="order_status" numFmtId="0">
      <sharedItems count="2">
        <s v="Completed"/>
        <s v="Cancelled"/>
      </sharedItems>
    </cacheField>
    <cacheField name="order_date" numFmtId="14">
      <sharedItems containsSemiMixedTypes="0" containsNonDate="0" containsDate="1" containsString="0" minDate="2025-01-10T00:00:00" maxDate="2025-05-16T00:00:00" count="15">
        <d v="2025-01-10T00:00:00"/>
        <d v="2025-01-15T00:00:00"/>
        <d v="2025-01-20T00:00:00"/>
        <d v="2025-02-05T00:00:00"/>
        <d v="2025-02-12T00:00:00"/>
        <d v="2025-02-18T00:00:00"/>
        <d v="2025-03-03T00:00:00"/>
        <d v="2025-03-08T00:00:00"/>
        <d v="2025-03-15T00:00:00"/>
        <d v="2025-03-22T00:00:00"/>
        <d v="2025-04-02T00:00:00"/>
        <d v="2025-04-10T00:00:00"/>
        <d v="2025-04-18T00:00:00"/>
        <d v="2025-05-05T00:00:00"/>
        <d v="2025-05-15T00:00:00"/>
      </sharedItems>
      <fieldGroup par="13"/>
    </cacheField>
    <cacheField name="customer_id" numFmtId="0">
      <sharedItems containsSemiMixedTypes="0" containsString="0" containsNumber="1" containsInteger="1" minValue="1" maxValue="10" count="10">
        <n v="1"/>
        <n v="3"/>
        <n v="2"/>
        <n v="5"/>
        <n v="4"/>
        <n v="7"/>
        <n v="8"/>
        <n v="10"/>
        <n v="6"/>
        <n v="9"/>
      </sharedItems>
    </cacheField>
    <cacheField name="Days (order_date)" numFmtId="0" databaseField="0">
      <fieldGroup base="10">
        <rangePr groupBy="days" startDate="2025-01-10T00:00:00" endDate="2025-05-16T00:00:00"/>
        <groupItems count="368">
          <s v="&lt;10/01/2025"/>
          <s v="01-Thg1"/>
          <s v="02-Thg1"/>
          <s v="03-Thg1"/>
          <s v="04-Thg1"/>
          <s v="05-Thg1"/>
          <s v="06-Thg1"/>
          <s v="07-Thg1"/>
          <s v="08-Thg1"/>
          <s v="09-Thg1"/>
          <s v="10-Thg1"/>
          <s v="11-Thg1"/>
          <s v="12-Thg1"/>
          <s v="13-Thg1"/>
          <s v="14-Thg1"/>
          <s v="15-Thg1"/>
          <s v="16-Thg1"/>
          <s v="17-Thg1"/>
          <s v="18-Thg1"/>
          <s v="19-Thg1"/>
          <s v="20-Thg1"/>
          <s v="21-Thg1"/>
          <s v="22-Thg1"/>
          <s v="23-Thg1"/>
          <s v="24-Thg1"/>
          <s v="25-Thg1"/>
          <s v="26-Thg1"/>
          <s v="27-Thg1"/>
          <s v="28-Thg1"/>
          <s v="29-Thg1"/>
          <s v="30-Thg1"/>
          <s v="31-Thg1"/>
          <s v="01-Thg2"/>
          <s v="02-Thg2"/>
          <s v="03-Thg2"/>
          <s v="04-Thg2"/>
          <s v="05-Thg2"/>
          <s v="06-Thg2"/>
          <s v="07-Thg2"/>
          <s v="08-Thg2"/>
          <s v="09-Thg2"/>
          <s v="10-Thg2"/>
          <s v="11-Thg2"/>
          <s v="12-Thg2"/>
          <s v="13-Thg2"/>
          <s v="14-Thg2"/>
          <s v="15-Thg2"/>
          <s v="16-Thg2"/>
          <s v="17-Thg2"/>
          <s v="18-Thg2"/>
          <s v="19-Thg2"/>
          <s v="20-Thg2"/>
          <s v="21-Thg2"/>
          <s v="22-Thg2"/>
          <s v="23-Thg2"/>
          <s v="24-Thg2"/>
          <s v="25-Thg2"/>
          <s v="26-Thg2"/>
          <s v="27-Thg2"/>
          <s v="28-Thg2"/>
          <s v="29-Thg2"/>
          <s v="01-Thg3"/>
          <s v="02-Thg3"/>
          <s v="03-Thg3"/>
          <s v="04-Thg3"/>
          <s v="05-Thg3"/>
          <s v="06-Thg3"/>
          <s v="07-Thg3"/>
          <s v="08-Thg3"/>
          <s v="09-Thg3"/>
          <s v="10-Thg3"/>
          <s v="11-Thg3"/>
          <s v="12-Thg3"/>
          <s v="13-Thg3"/>
          <s v="14-Thg3"/>
          <s v="15-Thg3"/>
          <s v="16-Thg3"/>
          <s v="17-Thg3"/>
          <s v="18-Thg3"/>
          <s v="19-Thg3"/>
          <s v="20-Thg3"/>
          <s v="21-Thg3"/>
          <s v="22-Thg3"/>
          <s v="23-Thg3"/>
          <s v="24-Thg3"/>
          <s v="25-Thg3"/>
          <s v="26-Thg3"/>
          <s v="27-Thg3"/>
          <s v="28-Thg3"/>
          <s v="29-Thg3"/>
          <s v="30-Thg3"/>
          <s v="31-Thg3"/>
          <s v="01-Thg4"/>
          <s v="02-Thg4"/>
          <s v="03-Thg4"/>
          <s v="04-Thg4"/>
          <s v="05-Thg4"/>
          <s v="06-Thg4"/>
          <s v="07-Thg4"/>
          <s v="08-Thg4"/>
          <s v="09-Thg4"/>
          <s v="10-Thg4"/>
          <s v="11-Thg4"/>
          <s v="12-Thg4"/>
          <s v="13-Thg4"/>
          <s v="14-Thg4"/>
          <s v="15-Thg4"/>
          <s v="16-Thg4"/>
          <s v="17-Thg4"/>
          <s v="18-Thg4"/>
          <s v="19-Thg4"/>
          <s v="20-Thg4"/>
          <s v="21-Thg4"/>
          <s v="22-Thg4"/>
          <s v="23-Thg4"/>
          <s v="24-Thg4"/>
          <s v="25-Thg4"/>
          <s v="26-Thg4"/>
          <s v="27-Thg4"/>
          <s v="28-Thg4"/>
          <s v="29-Thg4"/>
          <s v="30-Thg4"/>
          <s v="01-Thg5"/>
          <s v="02-Thg5"/>
          <s v="03-Thg5"/>
          <s v="04-Thg5"/>
          <s v="05-Thg5"/>
          <s v="06-Thg5"/>
          <s v="07-Thg5"/>
          <s v="08-Thg5"/>
          <s v="09-Thg5"/>
          <s v="10-Thg5"/>
          <s v="11-Thg5"/>
          <s v="12-Thg5"/>
          <s v="13-Thg5"/>
          <s v="14-Thg5"/>
          <s v="15-Thg5"/>
          <s v="16-Thg5"/>
          <s v="17-Thg5"/>
          <s v="18-Thg5"/>
          <s v="19-Thg5"/>
          <s v="20-Thg5"/>
          <s v="21-Thg5"/>
          <s v="22-Thg5"/>
          <s v="23-Thg5"/>
          <s v="24-Thg5"/>
          <s v="25-Thg5"/>
          <s v="26-Thg5"/>
          <s v="27-Thg5"/>
          <s v="28-Thg5"/>
          <s v="29-Thg5"/>
          <s v="30-Thg5"/>
          <s v="31-Thg5"/>
          <s v="01-Thg6"/>
          <s v="02-Thg6"/>
          <s v="03-Thg6"/>
          <s v="04-Thg6"/>
          <s v="05-Thg6"/>
          <s v="06-Thg6"/>
          <s v="07-Thg6"/>
          <s v="08-Thg6"/>
          <s v="09-Thg6"/>
          <s v="10-Thg6"/>
          <s v="11-Thg6"/>
          <s v="12-Thg6"/>
          <s v="13-Thg6"/>
          <s v="14-Thg6"/>
          <s v="15-Thg6"/>
          <s v="16-Thg6"/>
          <s v="17-Thg6"/>
          <s v="18-Thg6"/>
          <s v="19-Thg6"/>
          <s v="20-Thg6"/>
          <s v="21-Thg6"/>
          <s v="22-Thg6"/>
          <s v="23-Thg6"/>
          <s v="24-Thg6"/>
          <s v="25-Thg6"/>
          <s v="26-Thg6"/>
          <s v="27-Thg6"/>
          <s v="28-Thg6"/>
          <s v="29-Thg6"/>
          <s v="30-Thg6"/>
          <s v="01-Thg7"/>
          <s v="02-Thg7"/>
          <s v="03-Thg7"/>
          <s v="04-Thg7"/>
          <s v="05-Thg7"/>
          <s v="06-Thg7"/>
          <s v="07-Thg7"/>
          <s v="08-Thg7"/>
          <s v="09-Thg7"/>
          <s v="10-Thg7"/>
          <s v="11-Thg7"/>
          <s v="12-Thg7"/>
          <s v="13-Thg7"/>
          <s v="14-Thg7"/>
          <s v="15-Thg7"/>
          <s v="16-Thg7"/>
          <s v="17-Thg7"/>
          <s v="18-Thg7"/>
          <s v="19-Thg7"/>
          <s v="20-Thg7"/>
          <s v="21-Thg7"/>
          <s v="22-Thg7"/>
          <s v="23-Thg7"/>
          <s v="24-Thg7"/>
          <s v="25-Thg7"/>
          <s v="26-Thg7"/>
          <s v="27-Thg7"/>
          <s v="28-Thg7"/>
          <s v="29-Thg7"/>
          <s v="30-Thg7"/>
          <s v="31-Thg7"/>
          <s v="01-Thg8"/>
          <s v="02-Thg8"/>
          <s v="03-Thg8"/>
          <s v="04-Thg8"/>
          <s v="05-Thg8"/>
          <s v="06-Thg8"/>
          <s v="07-Thg8"/>
          <s v="08-Thg8"/>
          <s v="09-Thg8"/>
          <s v="10-Thg8"/>
          <s v="11-Thg8"/>
          <s v="12-Thg8"/>
          <s v="13-Thg8"/>
          <s v="14-Thg8"/>
          <s v="15-Thg8"/>
          <s v="16-Thg8"/>
          <s v="17-Thg8"/>
          <s v="18-Thg8"/>
          <s v="19-Thg8"/>
          <s v="20-Thg8"/>
          <s v="21-Thg8"/>
          <s v="22-Thg8"/>
          <s v="23-Thg8"/>
          <s v="24-Thg8"/>
          <s v="25-Thg8"/>
          <s v="26-Thg8"/>
          <s v="27-Thg8"/>
          <s v="28-Thg8"/>
          <s v="29-Thg8"/>
          <s v="30-Thg8"/>
          <s v="31-Thg8"/>
          <s v="01-Thg9"/>
          <s v="02-Thg9"/>
          <s v="03-Thg9"/>
          <s v="04-Thg9"/>
          <s v="05-Thg9"/>
          <s v="06-Thg9"/>
          <s v="07-Thg9"/>
          <s v="08-Thg9"/>
          <s v="09-Thg9"/>
          <s v="10-Thg9"/>
          <s v="11-Thg9"/>
          <s v="12-Thg9"/>
          <s v="13-Thg9"/>
          <s v="14-Thg9"/>
          <s v="15-Thg9"/>
          <s v="16-Thg9"/>
          <s v="17-Thg9"/>
          <s v="18-Thg9"/>
          <s v="19-Thg9"/>
          <s v="20-Thg9"/>
          <s v="21-Thg9"/>
          <s v="22-Thg9"/>
          <s v="23-Thg9"/>
          <s v="24-Thg9"/>
          <s v="25-Thg9"/>
          <s v="26-Thg9"/>
          <s v="27-Thg9"/>
          <s v="28-Thg9"/>
          <s v="29-Thg9"/>
          <s v="30-Thg9"/>
          <s v="01-Thg10"/>
          <s v="02-Thg10"/>
          <s v="03-Thg10"/>
          <s v="04-Thg10"/>
          <s v="05-Thg10"/>
          <s v="06-Thg10"/>
          <s v="07-Thg10"/>
          <s v="08-Thg10"/>
          <s v="09-Thg10"/>
          <s v="10-Thg10"/>
          <s v="11-Thg10"/>
          <s v="12-Thg10"/>
          <s v="13-Thg10"/>
          <s v="14-Thg10"/>
          <s v="15-Thg10"/>
          <s v="16-Thg10"/>
          <s v="17-Thg10"/>
          <s v="18-Thg10"/>
          <s v="19-Thg10"/>
          <s v="20-Thg10"/>
          <s v="21-Thg10"/>
          <s v="22-Thg10"/>
          <s v="23-Thg10"/>
          <s v="24-Thg10"/>
          <s v="25-Thg10"/>
          <s v="26-Thg10"/>
          <s v="27-Thg10"/>
          <s v="28-Thg10"/>
          <s v="29-Thg10"/>
          <s v="30-Thg10"/>
          <s v="31-Thg10"/>
          <s v="01-Thg11"/>
          <s v="02-Thg11"/>
          <s v="03-Thg11"/>
          <s v="04-Thg11"/>
          <s v="05-Thg11"/>
          <s v="06-Thg11"/>
          <s v="07-Thg11"/>
          <s v="08-Thg11"/>
          <s v="09-Thg11"/>
          <s v="10-Thg11"/>
          <s v="11-Thg11"/>
          <s v="12-Thg11"/>
          <s v="13-Thg11"/>
          <s v="14-Thg11"/>
          <s v="15-Thg11"/>
          <s v="16-Thg11"/>
          <s v="17-Thg11"/>
          <s v="18-Thg11"/>
          <s v="19-Thg11"/>
          <s v="20-Thg11"/>
          <s v="21-Thg11"/>
          <s v="22-Thg11"/>
          <s v="23-Thg11"/>
          <s v="24-Thg11"/>
          <s v="25-Thg11"/>
          <s v="26-Thg11"/>
          <s v="27-Thg11"/>
          <s v="28-Thg11"/>
          <s v="29-Thg11"/>
          <s v="30-Thg11"/>
          <s v="01-Thg12"/>
          <s v="02-Thg12"/>
          <s v="03-Thg12"/>
          <s v="04-Thg12"/>
          <s v="05-Thg12"/>
          <s v="06-Thg12"/>
          <s v="07-Thg12"/>
          <s v="08-Thg12"/>
          <s v="09-Thg12"/>
          <s v="10-Thg12"/>
          <s v="11-Thg12"/>
          <s v="12-Thg12"/>
          <s v="13-Thg12"/>
          <s v="14-Thg12"/>
          <s v="15-Thg12"/>
          <s v="16-Thg12"/>
          <s v="17-Thg12"/>
          <s v="18-Thg12"/>
          <s v="19-Thg12"/>
          <s v="20-Thg12"/>
          <s v="21-Thg12"/>
          <s v="22-Thg12"/>
          <s v="23-Thg12"/>
          <s v="24-Thg12"/>
          <s v="25-Thg12"/>
          <s v="26-Thg12"/>
          <s v="27-Thg12"/>
          <s v="28-Thg12"/>
          <s v="29-Thg12"/>
          <s v="30-Thg12"/>
          <s v="31-Thg12"/>
          <s v="&gt;16/05/2025"/>
        </groupItems>
      </fieldGroup>
    </cacheField>
    <cacheField name="Months (order_date)" numFmtId="0" databaseField="0">
      <fieldGroup base="10">
        <rangePr groupBy="months" startDate="2025-01-10T00:00:00" endDate="2025-05-16T00:00:00"/>
        <groupItems count="14">
          <s v="&lt;10/01/2025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16/0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"/>
    <n v="15000000"/>
    <n v="15000000"/>
    <x v="0"/>
    <x v="0"/>
    <n v="12000000"/>
    <n v="3000000"/>
    <x v="0"/>
    <x v="0"/>
    <x v="0"/>
  </r>
  <r>
    <x v="0"/>
    <x v="1"/>
    <n v="2"/>
    <n v="450000"/>
    <n v="900000"/>
    <x v="1"/>
    <x v="0"/>
    <n v="280000"/>
    <n v="340000"/>
    <x v="0"/>
    <x v="0"/>
    <x v="0"/>
  </r>
  <r>
    <x v="1"/>
    <x v="2"/>
    <n v="1"/>
    <n v="1800000"/>
    <n v="1800000"/>
    <x v="2"/>
    <x v="1"/>
    <n v="1100000"/>
    <n v="700000"/>
    <x v="0"/>
    <x v="1"/>
    <x v="1"/>
  </r>
  <r>
    <x v="1"/>
    <x v="3"/>
    <n v="2"/>
    <n v="350000"/>
    <n v="700000"/>
    <x v="3"/>
    <x v="1"/>
    <n v="180000"/>
    <n v="340000"/>
    <x v="0"/>
    <x v="1"/>
    <x v="1"/>
  </r>
  <r>
    <x v="2"/>
    <x v="4"/>
    <n v="1"/>
    <n v="2200000"/>
    <n v="2200000"/>
    <x v="4"/>
    <x v="2"/>
    <n v="1500000"/>
    <n v="700000"/>
    <x v="0"/>
    <x v="2"/>
    <x v="2"/>
  </r>
  <r>
    <x v="2"/>
    <x v="5"/>
    <n v="3"/>
    <n v="250000"/>
    <n v="750000"/>
    <x v="5"/>
    <x v="2"/>
    <n v="120000"/>
    <n v="390000"/>
    <x v="0"/>
    <x v="2"/>
    <x v="2"/>
  </r>
  <r>
    <x v="3"/>
    <x v="6"/>
    <n v="1"/>
    <n v="1200000"/>
    <n v="1200000"/>
    <x v="6"/>
    <x v="0"/>
    <n v="750000"/>
    <n v="450000"/>
    <x v="0"/>
    <x v="3"/>
    <x v="0"/>
  </r>
  <r>
    <x v="3"/>
    <x v="1"/>
    <n v="1"/>
    <n v="450000"/>
    <n v="450000"/>
    <x v="1"/>
    <x v="0"/>
    <n v="280000"/>
    <n v="170000"/>
    <x v="0"/>
    <x v="3"/>
    <x v="0"/>
  </r>
  <r>
    <x v="4"/>
    <x v="7"/>
    <n v="1"/>
    <n v="850000"/>
    <n v="850000"/>
    <x v="7"/>
    <x v="3"/>
    <n v="500000"/>
    <n v="350000"/>
    <x v="0"/>
    <x v="4"/>
    <x v="3"/>
  </r>
  <r>
    <x v="4"/>
    <x v="8"/>
    <n v="2"/>
    <n v="250000"/>
    <n v="500000"/>
    <x v="8"/>
    <x v="3"/>
    <n v="120000"/>
    <n v="260000"/>
    <x v="0"/>
    <x v="4"/>
    <x v="3"/>
  </r>
  <r>
    <x v="5"/>
    <x v="0"/>
    <n v="1"/>
    <n v="15000000"/>
    <n v="15000000"/>
    <x v="0"/>
    <x v="0"/>
    <n v="12000000"/>
    <n v="3000000"/>
    <x v="1"/>
    <x v="5"/>
    <x v="4"/>
  </r>
  <r>
    <x v="6"/>
    <x v="2"/>
    <n v="2"/>
    <n v="1800000"/>
    <n v="3600000"/>
    <x v="2"/>
    <x v="1"/>
    <n v="1100000"/>
    <n v="1400000"/>
    <x v="0"/>
    <x v="6"/>
    <x v="5"/>
  </r>
  <r>
    <x v="6"/>
    <x v="3"/>
    <n v="1"/>
    <n v="350000"/>
    <n v="350000"/>
    <x v="3"/>
    <x v="1"/>
    <n v="180000"/>
    <n v="170000"/>
    <x v="0"/>
    <x v="6"/>
    <x v="5"/>
  </r>
  <r>
    <x v="7"/>
    <x v="1"/>
    <n v="3"/>
    <n v="450000"/>
    <n v="1350000"/>
    <x v="1"/>
    <x v="0"/>
    <n v="280000"/>
    <n v="510000"/>
    <x v="0"/>
    <x v="7"/>
    <x v="2"/>
  </r>
  <r>
    <x v="7"/>
    <x v="6"/>
    <n v="1"/>
    <n v="1200000"/>
    <n v="1200000"/>
    <x v="6"/>
    <x v="0"/>
    <n v="750000"/>
    <n v="450000"/>
    <x v="0"/>
    <x v="7"/>
    <x v="2"/>
  </r>
  <r>
    <x v="8"/>
    <x v="4"/>
    <n v="1"/>
    <n v="2200000"/>
    <n v="2200000"/>
    <x v="4"/>
    <x v="2"/>
    <n v="1500000"/>
    <n v="700000"/>
    <x v="0"/>
    <x v="8"/>
    <x v="6"/>
  </r>
  <r>
    <x v="8"/>
    <x v="5"/>
    <n v="2"/>
    <n v="250000"/>
    <n v="500000"/>
    <x v="5"/>
    <x v="2"/>
    <n v="120000"/>
    <n v="260000"/>
    <x v="0"/>
    <x v="8"/>
    <x v="6"/>
  </r>
  <r>
    <x v="9"/>
    <x v="9"/>
    <n v="3"/>
    <n v="350000"/>
    <n v="1050000"/>
    <x v="9"/>
    <x v="4"/>
    <n v="180000"/>
    <n v="510000"/>
    <x v="0"/>
    <x v="9"/>
    <x v="7"/>
  </r>
  <r>
    <x v="9"/>
    <x v="8"/>
    <n v="1"/>
    <n v="250000"/>
    <n v="250000"/>
    <x v="8"/>
    <x v="3"/>
    <n v="120000"/>
    <n v="130000"/>
    <x v="0"/>
    <x v="9"/>
    <x v="7"/>
  </r>
  <r>
    <x v="10"/>
    <x v="0"/>
    <n v="1"/>
    <n v="15000000"/>
    <n v="15000000"/>
    <x v="0"/>
    <x v="0"/>
    <n v="12000000"/>
    <n v="3000000"/>
    <x v="0"/>
    <x v="10"/>
    <x v="0"/>
  </r>
  <r>
    <x v="10"/>
    <x v="6"/>
    <n v="1"/>
    <n v="1200000"/>
    <n v="1200000"/>
    <x v="6"/>
    <x v="0"/>
    <n v="750000"/>
    <n v="450000"/>
    <x v="0"/>
    <x v="10"/>
    <x v="0"/>
  </r>
  <r>
    <x v="11"/>
    <x v="7"/>
    <n v="2"/>
    <n v="850000"/>
    <n v="1700000"/>
    <x v="7"/>
    <x v="3"/>
    <n v="500000"/>
    <n v="700000"/>
    <x v="0"/>
    <x v="11"/>
    <x v="8"/>
  </r>
  <r>
    <x v="11"/>
    <x v="8"/>
    <n v="1"/>
    <n v="250000"/>
    <n v="250000"/>
    <x v="8"/>
    <x v="3"/>
    <n v="120000"/>
    <n v="130000"/>
    <x v="0"/>
    <x v="11"/>
    <x v="8"/>
  </r>
  <r>
    <x v="12"/>
    <x v="4"/>
    <n v="2"/>
    <n v="2200000"/>
    <n v="4400000"/>
    <x v="4"/>
    <x v="2"/>
    <n v="1500000"/>
    <n v="1400000"/>
    <x v="0"/>
    <x v="12"/>
    <x v="9"/>
  </r>
  <r>
    <x v="12"/>
    <x v="5"/>
    <n v="1"/>
    <n v="250000"/>
    <n v="250000"/>
    <x v="5"/>
    <x v="2"/>
    <n v="120000"/>
    <n v="130000"/>
    <x v="0"/>
    <x v="12"/>
    <x v="9"/>
  </r>
  <r>
    <x v="13"/>
    <x v="2"/>
    <n v="1"/>
    <n v="1800000"/>
    <n v="1800000"/>
    <x v="2"/>
    <x v="1"/>
    <n v="1100000"/>
    <n v="700000"/>
    <x v="1"/>
    <x v="13"/>
    <x v="1"/>
  </r>
  <r>
    <x v="13"/>
    <x v="9"/>
    <n v="2"/>
    <n v="350000"/>
    <n v="700000"/>
    <x v="9"/>
    <x v="4"/>
    <n v="180000"/>
    <n v="340000"/>
    <x v="1"/>
    <x v="13"/>
    <x v="1"/>
  </r>
  <r>
    <x v="14"/>
    <x v="1"/>
    <n v="2"/>
    <n v="450000"/>
    <n v="900000"/>
    <x v="1"/>
    <x v="0"/>
    <n v="280000"/>
    <n v="340000"/>
    <x v="0"/>
    <x v="14"/>
    <x v="3"/>
  </r>
  <r>
    <x v="14"/>
    <x v="3"/>
    <n v="1"/>
    <n v="350000"/>
    <n v="350000"/>
    <x v="3"/>
    <x v="1"/>
    <n v="180000"/>
    <n v="170000"/>
    <x v="0"/>
    <x v="14"/>
    <x v="3"/>
  </r>
  <r>
    <x v="14"/>
    <x v="7"/>
    <n v="1"/>
    <n v="850000"/>
    <n v="850000"/>
    <x v="7"/>
    <x v="3"/>
    <n v="500000"/>
    <n v="350000"/>
    <x v="0"/>
    <x v="1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59940-7D6A-417D-8B61-D9AED49FD11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pageFields count="1">
    <pageField fld="9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DB6A3-E774-4382-BFE4-63C65861D917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6" firstHeaderRow="1" firstDataRow="1" firstDataCol="1" rowPageCount="1" colPageCount="1"/>
  <pivotFields count="14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</rowItems>
  <colItems count="1">
    <i/>
  </colItems>
  <pageFields count="1">
    <pageField fld="9" hier="-1"/>
  </pageField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A1E39-4597-43FD-9B48-DF6049EBEA2B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 rowPageCount="1" colPageCount="1"/>
  <pivotFields count="14"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 v="1"/>
    </i>
    <i>
      <x v="3"/>
    </i>
    <i>
      <x v="4"/>
    </i>
    <i>
      <x/>
    </i>
    <i>
      <x v="2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09E12-C51F-4CBF-87E5-BFAE6F25785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 rowPageCount="1" colPageCount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1E428-0756-48FC-B343-69CDA2808BF4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 rowPageCount="1" colPageCount="1"/>
  <pivotFields count="14">
    <pivotField showAll="0"/>
    <pivotField showAll="0" sortType="descending">
      <items count="11">
        <item x="0"/>
        <item x="1"/>
        <item x="6"/>
        <item x="2"/>
        <item x="3"/>
        <item x="8"/>
        <item x="7"/>
        <item x="4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Row" showAll="0" sortType="descending">
      <items count="11">
        <item x="4"/>
        <item x="8"/>
        <item x="0"/>
        <item x="6"/>
        <item x="2"/>
        <item x="7"/>
        <item x="9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 v="8"/>
    </i>
    <i>
      <x v="7"/>
    </i>
    <i>
      <x v="5"/>
    </i>
    <i>
      <x v="1"/>
    </i>
    <i>
      <x v="9"/>
    </i>
    <i>
      <x/>
    </i>
    <i>
      <x v="6"/>
    </i>
    <i>
      <x v="3"/>
    </i>
    <i>
      <x v="4"/>
    </i>
    <i>
      <x v="2"/>
    </i>
    <i t="grand">
      <x/>
    </i>
  </rowItems>
  <colItems count="1">
    <i/>
  </colItems>
  <pageFields count="1">
    <pageField fld="9" hier="-1"/>
  </pageFields>
  <dataFields count="1">
    <dataField name="Sum of quantity" fld="2" baseField="1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F67EF-9278-4FA0-869C-111786D947D7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 rowPageCount="1" colPageCount="1"/>
  <pivotFields count="14">
    <pivotField showAll="0"/>
    <pivotField showAll="0" sortType="descending">
      <items count="11">
        <item x="0"/>
        <item x="1"/>
        <item x="6"/>
        <item x="2"/>
        <item x="3"/>
        <item x="8"/>
        <item x="7"/>
        <item x="4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Row" showAll="0" sortType="descending">
      <items count="11">
        <item x="4"/>
        <item x="8"/>
        <item x="0"/>
        <item x="6"/>
        <item x="2"/>
        <item x="7"/>
        <item x="9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 v="2"/>
    </i>
    <i>
      <x/>
    </i>
    <i>
      <x v="4"/>
    </i>
    <i>
      <x v="8"/>
    </i>
    <i>
      <x v="3"/>
    </i>
    <i>
      <x v="5"/>
    </i>
    <i>
      <x v="7"/>
    </i>
    <i>
      <x v="9"/>
    </i>
    <i>
      <x v="6"/>
    </i>
    <i>
      <x v="1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A32B3-B619-4423-A465-24539E030D46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11">
        <item x="0"/>
        <item x="2"/>
        <item x="1"/>
        <item x="4"/>
        <item x="3"/>
        <item x="8"/>
        <item x="5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10">
    <i>
      <x/>
    </i>
    <i>
      <x v="1"/>
    </i>
    <i>
      <x v="8"/>
    </i>
    <i>
      <x v="6"/>
    </i>
    <i>
      <x v="4"/>
    </i>
    <i>
      <x v="7"/>
    </i>
    <i>
      <x v="2"/>
    </i>
    <i>
      <x v="5"/>
    </i>
    <i>
      <x v="9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ACDFC-7E3B-412E-8C09-0CB913A21CAB}" name="Table1" displayName="Table1" ref="A1:L31" totalsRowShown="0" headerRowDxfId="13" dataDxfId="12">
  <autoFilter ref="A1:L31" xr:uid="{90DACDFC-7E3B-412E-8C09-0CB913A21CAB}"/>
  <tableColumns count="12">
    <tableColumn id="1" xr3:uid="{50BE7B08-0DAF-4DAE-AB2B-D5D4F26A83B4}" name="order_id" dataDxfId="11"/>
    <tableColumn id="2" xr3:uid="{4C8ACC5A-75B3-4F8B-8C28-637E8B0EAA5C}" name="product_id" dataDxfId="10"/>
    <tableColumn id="3" xr3:uid="{0A726CCE-BDFC-4430-9464-A155CBCA0E33}" name="quantity" dataDxfId="9"/>
    <tableColumn id="4" xr3:uid="{4E8346BD-D67F-4C8E-BACF-55A5B7A816CE}" name="unit_price" dataDxfId="8"/>
    <tableColumn id="5" xr3:uid="{8DBC57EF-626B-4593-8322-619582A5A7D2}" name="revenue" dataDxfId="7">
      <calculatedColumnFormula>Table1[[#This Row],[unit_price]]*Table1[[#This Row],[quantity]]</calculatedColumnFormula>
    </tableColumn>
    <tableColumn id="6" xr3:uid="{5992E175-CBAC-4AEA-9355-4EC7A4E62514}" name="product_name" dataDxfId="6"/>
    <tableColumn id="7" xr3:uid="{3AA608F4-0F04-46FE-BAE6-6D33FA172281}" name="category" dataDxfId="5"/>
    <tableColumn id="8" xr3:uid="{0A7D2758-B12F-472A-9F0E-AEF3B1D17D6B}" name="cost" dataDxfId="4"/>
    <tableColumn id="9" xr3:uid="{994D9C7D-263E-46A6-ADC4-AD84EC729383}" name="profit" dataDxfId="3">
      <calculatedColumnFormula>Table1[[#This Row],[revenue]]-Table1[[#This Row],[cost]]*Table1[[#This Row],[quantity]]</calculatedColumnFormula>
    </tableColumn>
    <tableColumn id="10" xr3:uid="{BCE258AD-B836-466B-9FE3-952F0CEAE83A}" name="order_status" dataDxfId="2">
      <calculatedColumnFormula>VLOOKUP(Table1[[#This Row],[order_id]],[1]!Table1[#All],5,0)</calculatedColumnFormula>
    </tableColumn>
    <tableColumn id="11" xr3:uid="{F3EC85BB-2040-4DD4-B8EA-EE449B8EA886}" name="order_date" dataDxfId="1">
      <calculatedColumnFormula>VLOOKUP(Table1[[#This Row],[order_id]],[1]!Table1[#Data],3,0)</calculatedColumnFormula>
    </tableColumn>
    <tableColumn id="12" xr3:uid="{C209B9DE-EF07-40A0-9AB3-CDB0C28FBE60}" name="customer_id" dataDxfId="0">
      <calculatedColumnFormula>VLOOKUP(Table1[[#This Row],[order_id]],[1]!Table1[#All],2,0)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5A18-9BF5-4AEB-8064-84420ADCB565}">
  <dimension ref="A1:L31"/>
  <sheetViews>
    <sheetView workbookViewId="0">
      <selection activeCell="P10" sqref="P10"/>
    </sheetView>
  </sheetViews>
  <sheetFormatPr defaultRowHeight="14.25" x14ac:dyDescent="0.2"/>
  <cols>
    <col min="1" max="1" width="10.25" customWidth="1"/>
    <col min="2" max="2" width="12.25" customWidth="1"/>
    <col min="3" max="3" width="9.75" customWidth="1"/>
    <col min="4" max="4" width="11.625" customWidth="1"/>
    <col min="10" max="10" width="9.75" bestFit="1" customWidth="1"/>
    <col min="11" max="11" width="9.875" style="5" bestFit="1" customWidth="1"/>
    <col min="12" max="12" width="8.375" bestFit="1" customWidth="1"/>
  </cols>
  <sheetData>
    <row r="1" spans="1:12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21</v>
      </c>
    </row>
    <row r="2" spans="1:12" ht="28.5" x14ac:dyDescent="0.2">
      <c r="A2" s="1">
        <v>10001</v>
      </c>
      <c r="B2" s="1">
        <v>1001</v>
      </c>
      <c r="C2" s="1">
        <v>1</v>
      </c>
      <c r="D2" s="1">
        <v>15000000</v>
      </c>
      <c r="E2" s="1">
        <f>Table1[[#This Row],[unit_price]]*Table1[[#This Row],[quantity]]</f>
        <v>15000000</v>
      </c>
      <c r="F2" s="1" t="str">
        <f>VLOOKUP(Table1[[#This Row],[product_id]],[1]!#REF!,2,0)</f>
        <v>Laptop Basic</v>
      </c>
      <c r="G2" s="1" t="str">
        <f>VLOOKUP(Table1[[#This Row],[product_id]],[1]!#REF!,3,)</f>
        <v>Electronics</v>
      </c>
      <c r="H2" s="1">
        <f>VLOOKUP(Table1[[#This Row],[product_id]],[1]!#REF!,5,0)</f>
        <v>12000000</v>
      </c>
      <c r="I2" s="1">
        <f>Table1[[#This Row],[revenue]]-Table1[[#This Row],[cost]]*Table1[[#This Row],[quantity]]</f>
        <v>3000000</v>
      </c>
      <c r="J2" s="1" t="str">
        <f>VLOOKUP(Table1[[#This Row],[order_id]],[1]!Table1[#All],5,0)</f>
        <v>Completed</v>
      </c>
      <c r="K2" s="4">
        <f>VLOOKUP(Table1[[#This Row],[order_id]],[1]!Table1[#Data],3,0)</f>
        <v>45667</v>
      </c>
      <c r="L2" s="1">
        <f>VLOOKUP(Table1[[#This Row],[order_id]],[1]!Table1[#All],2,0)</f>
        <v>1</v>
      </c>
    </row>
    <row r="3" spans="1:12" ht="28.5" x14ac:dyDescent="0.2">
      <c r="A3" s="1">
        <v>10001</v>
      </c>
      <c r="B3" s="1">
        <v>1002</v>
      </c>
      <c r="C3" s="1">
        <v>2</v>
      </c>
      <c r="D3" s="1">
        <v>450000</v>
      </c>
      <c r="E3" s="1">
        <f>Table1[[#This Row],[unit_price]]*Table1[[#This Row],[quantity]]</f>
        <v>900000</v>
      </c>
      <c r="F3" s="1" t="str">
        <f>VLOOKUP(Table1[[#This Row],[product_id]],[1]!#REF!,2,0)</f>
        <v>Wireless Mouse</v>
      </c>
      <c r="G3" s="1" t="str">
        <f>VLOOKUP(Table1[[#This Row],[product_id]],[1]!#REF!,3,)</f>
        <v>Electronics</v>
      </c>
      <c r="H3" s="1">
        <f>VLOOKUP(Table1[[#This Row],[product_id]],[1]!#REF!,5,0)</f>
        <v>280000</v>
      </c>
      <c r="I3" s="1">
        <f>Table1[[#This Row],[revenue]]-Table1[[#This Row],[cost]]*Table1[[#This Row],[quantity]]</f>
        <v>340000</v>
      </c>
      <c r="J3" s="1" t="str">
        <f>VLOOKUP(Table1[[#This Row],[order_id]],[1]!Table1[#All],5,0)</f>
        <v>Completed</v>
      </c>
      <c r="K3" s="4">
        <f>VLOOKUP(Table1[[#This Row],[order_id]],[1]!Table1[#Data],3,0)</f>
        <v>45667</v>
      </c>
      <c r="L3" s="1">
        <f>VLOOKUP(Table1[[#This Row],[order_id]],[1]!Table1[#All],2,0)</f>
        <v>1</v>
      </c>
    </row>
    <row r="4" spans="1:12" ht="28.5" x14ac:dyDescent="0.2">
      <c r="A4" s="1">
        <v>10002</v>
      </c>
      <c r="B4" s="1">
        <v>1004</v>
      </c>
      <c r="C4" s="1">
        <v>1</v>
      </c>
      <c r="D4" s="1">
        <v>1800000</v>
      </c>
      <c r="E4" s="1">
        <f>Table1[[#This Row],[unit_price]]*Table1[[#This Row],[quantity]]</f>
        <v>1800000</v>
      </c>
      <c r="F4" s="1" t="str">
        <f>VLOOKUP(Table1[[#This Row],[product_id]],[1]!#REF!,2,0)</f>
        <v>Running Shoes</v>
      </c>
      <c r="G4" s="1" t="str">
        <f>VLOOKUP(Table1[[#This Row],[product_id]],[1]!#REF!,3,)</f>
        <v>Sports</v>
      </c>
      <c r="H4" s="1">
        <f>VLOOKUP(Table1[[#This Row],[product_id]],[1]!#REF!,5,0)</f>
        <v>1100000</v>
      </c>
      <c r="I4" s="1">
        <f>Table1[[#This Row],[revenue]]-Table1[[#This Row],[cost]]*Table1[[#This Row],[quantity]]</f>
        <v>700000</v>
      </c>
      <c r="J4" s="1" t="str">
        <f>VLOOKUP(Table1[[#This Row],[order_id]],[1]!Table1[#All],5,0)</f>
        <v>Completed</v>
      </c>
      <c r="K4" s="4">
        <f>VLOOKUP(Table1[[#This Row],[order_id]],[1]!Table1[#Data],3,0)</f>
        <v>45672</v>
      </c>
      <c r="L4" s="1">
        <f>VLOOKUP(Table1[[#This Row],[order_id]],[1]!Table1[#All],2,0)</f>
        <v>3</v>
      </c>
    </row>
    <row r="5" spans="1:12" x14ac:dyDescent="0.2">
      <c r="A5" s="1">
        <v>10002</v>
      </c>
      <c r="B5" s="1">
        <v>1005</v>
      </c>
      <c r="C5" s="1">
        <v>2</v>
      </c>
      <c r="D5" s="1">
        <v>350000</v>
      </c>
      <c r="E5" s="1">
        <f>Table1[[#This Row],[unit_price]]*Table1[[#This Row],[quantity]]</f>
        <v>700000</v>
      </c>
      <c r="F5" s="1" t="str">
        <f>VLOOKUP(Table1[[#This Row],[product_id]],[1]!#REF!,2,0)</f>
        <v>Yoga Mat</v>
      </c>
      <c r="G5" s="1" t="str">
        <f>VLOOKUP(Table1[[#This Row],[product_id]],[1]!#REF!,3,)</f>
        <v>Sports</v>
      </c>
      <c r="H5" s="1">
        <f>VLOOKUP(Table1[[#This Row],[product_id]],[1]!#REF!,5,0)</f>
        <v>180000</v>
      </c>
      <c r="I5" s="1">
        <f>Table1[[#This Row],[revenue]]-Table1[[#This Row],[cost]]*Table1[[#This Row],[quantity]]</f>
        <v>340000</v>
      </c>
      <c r="J5" s="1" t="str">
        <f>VLOOKUP(Table1[[#This Row],[order_id]],[1]!Table1[#All],5,0)</f>
        <v>Completed</v>
      </c>
      <c r="K5" s="4">
        <f>VLOOKUP(Table1[[#This Row],[order_id]],[1]!Table1[#Data],3,0)</f>
        <v>45672</v>
      </c>
      <c r="L5" s="1">
        <f>VLOOKUP(Table1[[#This Row],[order_id]],[1]!Table1[#All],2,0)</f>
        <v>3</v>
      </c>
    </row>
    <row r="6" spans="1:12" ht="28.5" x14ac:dyDescent="0.2">
      <c r="A6" s="1">
        <v>10003</v>
      </c>
      <c r="B6" s="1">
        <v>1008</v>
      </c>
      <c r="C6" s="1">
        <v>1</v>
      </c>
      <c r="D6" s="1">
        <v>2200000</v>
      </c>
      <c r="E6" s="1">
        <f>Table1[[#This Row],[unit_price]]*Table1[[#This Row],[quantity]]</f>
        <v>2200000</v>
      </c>
      <c r="F6" s="1" t="str">
        <f>VLOOKUP(Table1[[#This Row],[product_id]],[1]!#REF!,2,0)</f>
        <v>Coffee Maker</v>
      </c>
      <c r="G6" s="1" t="str">
        <f>VLOOKUP(Table1[[#This Row],[product_id]],[1]!#REF!,3,)</f>
        <v>Home &amp; Kitchen</v>
      </c>
      <c r="H6" s="1">
        <f>VLOOKUP(Table1[[#This Row],[product_id]],[1]!#REF!,5,0)</f>
        <v>1500000</v>
      </c>
      <c r="I6" s="1">
        <f>Table1[[#This Row],[revenue]]-Table1[[#This Row],[cost]]*Table1[[#This Row],[quantity]]</f>
        <v>700000</v>
      </c>
      <c r="J6" s="1" t="str">
        <f>VLOOKUP(Table1[[#This Row],[order_id]],[1]!Table1[#All],5,0)</f>
        <v>Completed</v>
      </c>
      <c r="K6" s="4">
        <f>VLOOKUP(Table1[[#This Row],[order_id]],[1]!Table1[#Data],3,0)</f>
        <v>45677</v>
      </c>
      <c r="L6" s="1">
        <f>VLOOKUP(Table1[[#This Row],[order_id]],[1]!Table1[#All],2,0)</f>
        <v>2</v>
      </c>
    </row>
    <row r="7" spans="1:12" ht="28.5" x14ac:dyDescent="0.2">
      <c r="A7" s="1">
        <v>10003</v>
      </c>
      <c r="B7" s="1">
        <v>1009</v>
      </c>
      <c r="C7" s="1">
        <v>3</v>
      </c>
      <c r="D7" s="1">
        <v>250000</v>
      </c>
      <c r="E7" s="1">
        <f>Table1[[#This Row],[unit_price]]*Table1[[#This Row],[quantity]]</f>
        <v>750000</v>
      </c>
      <c r="F7" s="1" t="str">
        <f>VLOOKUP(Table1[[#This Row],[product_id]],[1]!#REF!,2,0)</f>
        <v>Water Bottle</v>
      </c>
      <c r="G7" s="1" t="str">
        <f>VLOOKUP(Table1[[#This Row],[product_id]],[1]!#REF!,3,)</f>
        <v>Home &amp; Kitchen</v>
      </c>
      <c r="H7" s="1">
        <f>VLOOKUP(Table1[[#This Row],[product_id]],[1]!#REF!,5,0)</f>
        <v>120000</v>
      </c>
      <c r="I7" s="1">
        <f>Table1[[#This Row],[revenue]]-Table1[[#This Row],[cost]]*Table1[[#This Row],[quantity]]</f>
        <v>390000</v>
      </c>
      <c r="J7" s="1" t="str">
        <f>VLOOKUP(Table1[[#This Row],[order_id]],[1]!Table1[#All],5,0)</f>
        <v>Completed</v>
      </c>
      <c r="K7" s="4">
        <f>VLOOKUP(Table1[[#This Row],[order_id]],[1]!Table1[#Data],3,0)</f>
        <v>45677</v>
      </c>
      <c r="L7" s="1">
        <f>VLOOKUP(Table1[[#This Row],[order_id]],[1]!Table1[#All],2,0)</f>
        <v>2</v>
      </c>
    </row>
    <row r="8" spans="1:12" ht="42.75" x14ac:dyDescent="0.2">
      <c r="A8" s="1">
        <v>10004</v>
      </c>
      <c r="B8" s="1">
        <v>1003</v>
      </c>
      <c r="C8" s="1">
        <v>1</v>
      </c>
      <c r="D8" s="1">
        <v>1200000</v>
      </c>
      <c r="E8" s="1">
        <f>Table1[[#This Row],[unit_price]]*Table1[[#This Row],[quantity]]</f>
        <v>1200000</v>
      </c>
      <c r="F8" s="1" t="str">
        <f>VLOOKUP(Table1[[#This Row],[product_id]],[1]!#REF!,2,0)</f>
        <v>Mechanical Keyboard</v>
      </c>
      <c r="G8" s="1" t="str">
        <f>VLOOKUP(Table1[[#This Row],[product_id]],[1]!#REF!,3,)</f>
        <v>Electronics</v>
      </c>
      <c r="H8" s="1">
        <f>VLOOKUP(Table1[[#This Row],[product_id]],[1]!#REF!,5,0)</f>
        <v>750000</v>
      </c>
      <c r="I8" s="1">
        <f>Table1[[#This Row],[revenue]]-Table1[[#This Row],[cost]]*Table1[[#This Row],[quantity]]</f>
        <v>450000</v>
      </c>
      <c r="J8" s="1" t="str">
        <f>VLOOKUP(Table1[[#This Row],[order_id]],[1]!Table1[#All],5,0)</f>
        <v>Completed</v>
      </c>
      <c r="K8" s="4">
        <f>VLOOKUP(Table1[[#This Row],[order_id]],[1]!Table1[#Data],3,0)</f>
        <v>45693</v>
      </c>
      <c r="L8" s="1">
        <f>VLOOKUP(Table1[[#This Row],[order_id]],[1]!Table1[#All],2,0)</f>
        <v>1</v>
      </c>
    </row>
    <row r="9" spans="1:12" ht="28.5" x14ac:dyDescent="0.2">
      <c r="A9" s="1">
        <v>10004</v>
      </c>
      <c r="B9" s="1">
        <v>1002</v>
      </c>
      <c r="C9" s="1">
        <v>1</v>
      </c>
      <c r="D9" s="1">
        <v>450000</v>
      </c>
      <c r="E9" s="1">
        <f>Table1[[#This Row],[unit_price]]*Table1[[#This Row],[quantity]]</f>
        <v>450000</v>
      </c>
      <c r="F9" s="1" t="str">
        <f>VLOOKUP(Table1[[#This Row],[product_id]],[1]!#REF!,2,0)</f>
        <v>Wireless Mouse</v>
      </c>
      <c r="G9" s="1" t="str">
        <f>VLOOKUP(Table1[[#This Row],[product_id]],[1]!#REF!,3,)</f>
        <v>Electronics</v>
      </c>
      <c r="H9" s="1">
        <f>VLOOKUP(Table1[[#This Row],[product_id]],[1]!#REF!,5,0)</f>
        <v>280000</v>
      </c>
      <c r="I9" s="1">
        <f>Table1[[#This Row],[revenue]]-Table1[[#This Row],[cost]]*Table1[[#This Row],[quantity]]</f>
        <v>170000</v>
      </c>
      <c r="J9" s="1" t="str">
        <f>VLOOKUP(Table1[[#This Row],[order_id]],[1]!Table1[#All],5,0)</f>
        <v>Completed</v>
      </c>
      <c r="K9" s="4">
        <f>VLOOKUP(Table1[[#This Row],[order_id]],[1]!Table1[#Data],3,0)</f>
        <v>45693</v>
      </c>
      <c r="L9" s="1">
        <f>VLOOKUP(Table1[[#This Row],[order_id]],[1]!Table1[#All],2,0)</f>
        <v>1</v>
      </c>
    </row>
    <row r="10" spans="1:12" ht="28.5" x14ac:dyDescent="0.2">
      <c r="A10" s="1">
        <v>10005</v>
      </c>
      <c r="B10" s="1">
        <v>1007</v>
      </c>
      <c r="C10" s="1">
        <v>1</v>
      </c>
      <c r="D10" s="1">
        <v>850000</v>
      </c>
      <c r="E10" s="1">
        <f>Table1[[#This Row],[unit_price]]*Table1[[#This Row],[quantity]]</f>
        <v>850000</v>
      </c>
      <c r="F10" s="1" t="str">
        <f>VLOOKUP(Table1[[#This Row],[product_id]],[1]!#REF!,2,0)</f>
        <v>Skincare Set</v>
      </c>
      <c r="G10" s="1" t="str">
        <f>VLOOKUP(Table1[[#This Row],[product_id]],[1]!#REF!,3,)</f>
        <v>Beauty</v>
      </c>
      <c r="H10" s="1">
        <f>VLOOKUP(Table1[[#This Row],[product_id]],[1]!#REF!,5,0)</f>
        <v>500000</v>
      </c>
      <c r="I10" s="1">
        <f>Table1[[#This Row],[revenue]]-Table1[[#This Row],[cost]]*Table1[[#This Row],[quantity]]</f>
        <v>350000</v>
      </c>
      <c r="J10" s="1" t="str">
        <f>VLOOKUP(Table1[[#This Row],[order_id]],[1]!Table1[#All],5,0)</f>
        <v>Completed</v>
      </c>
      <c r="K10" s="4">
        <f>VLOOKUP(Table1[[#This Row],[order_id]],[1]!Table1[#Data],3,0)</f>
        <v>45700</v>
      </c>
      <c r="L10" s="1">
        <f>VLOOKUP(Table1[[#This Row],[order_id]],[1]!Table1[#All],2,0)</f>
        <v>5</v>
      </c>
    </row>
    <row r="11" spans="1:12" ht="28.5" x14ac:dyDescent="0.2">
      <c r="A11" s="1">
        <v>10005</v>
      </c>
      <c r="B11" s="1">
        <v>1006</v>
      </c>
      <c r="C11" s="1">
        <v>2</v>
      </c>
      <c r="D11" s="1">
        <v>250000</v>
      </c>
      <c r="E11" s="1">
        <f>Table1[[#This Row],[unit_price]]*Table1[[#This Row],[quantity]]</f>
        <v>500000</v>
      </c>
      <c r="F11" s="1" t="str">
        <f>VLOOKUP(Table1[[#This Row],[product_id]],[1]!#REF!,2,0)</f>
        <v>Face Cleanser</v>
      </c>
      <c r="G11" s="1" t="str">
        <f>VLOOKUP(Table1[[#This Row],[product_id]],[1]!#REF!,3,)</f>
        <v>Beauty</v>
      </c>
      <c r="H11" s="1">
        <f>VLOOKUP(Table1[[#This Row],[product_id]],[1]!#REF!,5,0)</f>
        <v>120000</v>
      </c>
      <c r="I11" s="1">
        <f>Table1[[#This Row],[revenue]]-Table1[[#This Row],[cost]]*Table1[[#This Row],[quantity]]</f>
        <v>260000</v>
      </c>
      <c r="J11" s="1" t="str">
        <f>VLOOKUP(Table1[[#This Row],[order_id]],[1]!Table1[#All],5,0)</f>
        <v>Completed</v>
      </c>
      <c r="K11" s="4">
        <f>VLOOKUP(Table1[[#This Row],[order_id]],[1]!Table1[#Data],3,0)</f>
        <v>45700</v>
      </c>
      <c r="L11" s="1">
        <f>VLOOKUP(Table1[[#This Row],[order_id]],[1]!Table1[#All],2,0)</f>
        <v>5</v>
      </c>
    </row>
    <row r="12" spans="1:12" ht="28.5" x14ac:dyDescent="0.2">
      <c r="A12" s="1">
        <v>10006</v>
      </c>
      <c r="B12" s="1">
        <v>1001</v>
      </c>
      <c r="C12" s="1">
        <v>1</v>
      </c>
      <c r="D12" s="1">
        <v>15000000</v>
      </c>
      <c r="E12" s="1">
        <f>Table1[[#This Row],[unit_price]]*Table1[[#This Row],[quantity]]</f>
        <v>15000000</v>
      </c>
      <c r="F12" s="1" t="str">
        <f>VLOOKUP(Table1[[#This Row],[product_id]],[1]!#REF!,2,0)</f>
        <v>Laptop Basic</v>
      </c>
      <c r="G12" s="1" t="str">
        <f>VLOOKUP(Table1[[#This Row],[product_id]],[1]!#REF!,3,)</f>
        <v>Electronics</v>
      </c>
      <c r="H12" s="1">
        <f>VLOOKUP(Table1[[#This Row],[product_id]],[1]!#REF!,5,0)</f>
        <v>12000000</v>
      </c>
      <c r="I12" s="1">
        <f>Table1[[#This Row],[revenue]]-Table1[[#This Row],[cost]]*Table1[[#This Row],[quantity]]</f>
        <v>3000000</v>
      </c>
      <c r="J12" s="1" t="str">
        <f>VLOOKUP(Table1[[#This Row],[order_id]],[1]!Table1[#All],5,0)</f>
        <v>Cancelled</v>
      </c>
      <c r="K12" s="4">
        <f>VLOOKUP(Table1[[#This Row],[order_id]],[1]!Table1[#Data],3,0)</f>
        <v>45706</v>
      </c>
      <c r="L12" s="1">
        <f>VLOOKUP(Table1[[#This Row],[order_id]],[1]!Table1[#All],2,0)</f>
        <v>4</v>
      </c>
    </row>
    <row r="13" spans="1:12" ht="28.5" x14ac:dyDescent="0.2">
      <c r="A13" s="1">
        <v>10007</v>
      </c>
      <c r="B13" s="1">
        <v>1004</v>
      </c>
      <c r="C13" s="1">
        <v>2</v>
      </c>
      <c r="D13" s="1">
        <v>1800000</v>
      </c>
      <c r="E13" s="1">
        <f>Table1[[#This Row],[unit_price]]*Table1[[#This Row],[quantity]]</f>
        <v>3600000</v>
      </c>
      <c r="F13" s="1" t="str">
        <f>VLOOKUP(Table1[[#This Row],[product_id]],[1]!#REF!,2,0)</f>
        <v>Running Shoes</v>
      </c>
      <c r="G13" s="1" t="str">
        <f>VLOOKUP(Table1[[#This Row],[product_id]],[1]!#REF!,3,)</f>
        <v>Sports</v>
      </c>
      <c r="H13" s="1">
        <f>VLOOKUP(Table1[[#This Row],[product_id]],[1]!#REF!,5,0)</f>
        <v>1100000</v>
      </c>
      <c r="I13" s="1">
        <f>Table1[[#This Row],[revenue]]-Table1[[#This Row],[cost]]*Table1[[#This Row],[quantity]]</f>
        <v>1400000</v>
      </c>
      <c r="J13" s="1" t="str">
        <f>VLOOKUP(Table1[[#This Row],[order_id]],[1]!Table1[#All],5,0)</f>
        <v>Completed</v>
      </c>
      <c r="K13" s="4">
        <f>VLOOKUP(Table1[[#This Row],[order_id]],[1]!Table1[#Data],3,0)</f>
        <v>45719</v>
      </c>
      <c r="L13" s="1">
        <f>VLOOKUP(Table1[[#This Row],[order_id]],[1]!Table1[#All],2,0)</f>
        <v>7</v>
      </c>
    </row>
    <row r="14" spans="1:12" x14ac:dyDescent="0.2">
      <c r="A14" s="1">
        <v>10007</v>
      </c>
      <c r="B14" s="1">
        <v>1005</v>
      </c>
      <c r="C14" s="1">
        <v>1</v>
      </c>
      <c r="D14" s="1">
        <v>350000</v>
      </c>
      <c r="E14" s="1">
        <f>Table1[[#This Row],[unit_price]]*Table1[[#This Row],[quantity]]</f>
        <v>350000</v>
      </c>
      <c r="F14" s="1" t="str">
        <f>VLOOKUP(Table1[[#This Row],[product_id]],[1]!#REF!,2,0)</f>
        <v>Yoga Mat</v>
      </c>
      <c r="G14" s="1" t="str">
        <f>VLOOKUP(Table1[[#This Row],[product_id]],[1]!#REF!,3,)</f>
        <v>Sports</v>
      </c>
      <c r="H14" s="1">
        <f>VLOOKUP(Table1[[#This Row],[product_id]],[1]!#REF!,5,0)</f>
        <v>180000</v>
      </c>
      <c r="I14" s="1">
        <f>Table1[[#This Row],[revenue]]-Table1[[#This Row],[cost]]*Table1[[#This Row],[quantity]]</f>
        <v>170000</v>
      </c>
      <c r="J14" s="1" t="str">
        <f>VLOOKUP(Table1[[#This Row],[order_id]],[1]!Table1[#All],5,0)</f>
        <v>Completed</v>
      </c>
      <c r="K14" s="4">
        <f>VLOOKUP(Table1[[#This Row],[order_id]],[1]!Table1[#Data],3,0)</f>
        <v>45719</v>
      </c>
      <c r="L14" s="1">
        <f>VLOOKUP(Table1[[#This Row],[order_id]],[1]!Table1[#All],2,0)</f>
        <v>7</v>
      </c>
    </row>
    <row r="15" spans="1:12" ht="28.5" x14ac:dyDescent="0.2">
      <c r="A15" s="1">
        <v>10008</v>
      </c>
      <c r="B15" s="1">
        <v>1002</v>
      </c>
      <c r="C15" s="1">
        <v>3</v>
      </c>
      <c r="D15" s="1">
        <v>450000</v>
      </c>
      <c r="E15" s="1">
        <f>Table1[[#This Row],[unit_price]]*Table1[[#This Row],[quantity]]</f>
        <v>1350000</v>
      </c>
      <c r="F15" s="1" t="str">
        <f>VLOOKUP(Table1[[#This Row],[product_id]],[1]!#REF!,2,0)</f>
        <v>Wireless Mouse</v>
      </c>
      <c r="G15" s="1" t="str">
        <f>VLOOKUP(Table1[[#This Row],[product_id]],[1]!#REF!,3,)</f>
        <v>Electronics</v>
      </c>
      <c r="H15" s="1">
        <f>VLOOKUP(Table1[[#This Row],[product_id]],[1]!#REF!,5,0)</f>
        <v>280000</v>
      </c>
      <c r="I15" s="1">
        <f>Table1[[#This Row],[revenue]]-Table1[[#This Row],[cost]]*Table1[[#This Row],[quantity]]</f>
        <v>510000</v>
      </c>
      <c r="J15" s="1" t="str">
        <f>VLOOKUP(Table1[[#This Row],[order_id]],[1]!Table1[#All],5,0)</f>
        <v>Completed</v>
      </c>
      <c r="K15" s="4">
        <f>VLOOKUP(Table1[[#This Row],[order_id]],[1]!Table1[#Data],3,0)</f>
        <v>45724</v>
      </c>
      <c r="L15" s="1">
        <f>VLOOKUP(Table1[[#This Row],[order_id]],[1]!Table1[#All],2,0)</f>
        <v>2</v>
      </c>
    </row>
    <row r="16" spans="1:12" ht="42.75" x14ac:dyDescent="0.2">
      <c r="A16" s="1">
        <v>10008</v>
      </c>
      <c r="B16" s="1">
        <v>1003</v>
      </c>
      <c r="C16" s="1">
        <v>1</v>
      </c>
      <c r="D16" s="1">
        <v>1200000</v>
      </c>
      <c r="E16" s="1">
        <f>Table1[[#This Row],[unit_price]]*Table1[[#This Row],[quantity]]</f>
        <v>1200000</v>
      </c>
      <c r="F16" s="1" t="str">
        <f>VLOOKUP(Table1[[#This Row],[product_id]],[1]!#REF!,2,0)</f>
        <v>Mechanical Keyboard</v>
      </c>
      <c r="G16" s="1" t="str">
        <f>VLOOKUP(Table1[[#This Row],[product_id]],[1]!#REF!,3,)</f>
        <v>Electronics</v>
      </c>
      <c r="H16" s="1">
        <f>VLOOKUP(Table1[[#This Row],[product_id]],[1]!#REF!,5,0)</f>
        <v>750000</v>
      </c>
      <c r="I16" s="1">
        <f>Table1[[#This Row],[revenue]]-Table1[[#This Row],[cost]]*Table1[[#This Row],[quantity]]</f>
        <v>450000</v>
      </c>
      <c r="J16" s="1" t="str">
        <f>VLOOKUP(Table1[[#This Row],[order_id]],[1]!Table1[#All],5,0)</f>
        <v>Completed</v>
      </c>
      <c r="K16" s="4">
        <f>VLOOKUP(Table1[[#This Row],[order_id]],[1]!Table1[#Data],3,0)</f>
        <v>45724</v>
      </c>
      <c r="L16" s="1">
        <f>VLOOKUP(Table1[[#This Row],[order_id]],[1]!Table1[#All],2,0)</f>
        <v>2</v>
      </c>
    </row>
    <row r="17" spans="1:12" ht="28.5" x14ac:dyDescent="0.2">
      <c r="A17" s="1">
        <v>10009</v>
      </c>
      <c r="B17" s="1">
        <v>1008</v>
      </c>
      <c r="C17" s="1">
        <v>1</v>
      </c>
      <c r="D17" s="1">
        <v>2200000</v>
      </c>
      <c r="E17" s="1">
        <f>Table1[[#This Row],[unit_price]]*Table1[[#This Row],[quantity]]</f>
        <v>2200000</v>
      </c>
      <c r="F17" s="1" t="str">
        <f>VLOOKUP(Table1[[#This Row],[product_id]],[1]!#REF!,2,0)</f>
        <v>Coffee Maker</v>
      </c>
      <c r="G17" s="1" t="str">
        <f>VLOOKUP(Table1[[#This Row],[product_id]],[1]!#REF!,3,)</f>
        <v>Home &amp; Kitchen</v>
      </c>
      <c r="H17" s="1">
        <f>VLOOKUP(Table1[[#This Row],[product_id]],[1]!#REF!,5,0)</f>
        <v>1500000</v>
      </c>
      <c r="I17" s="1">
        <f>Table1[[#This Row],[revenue]]-Table1[[#This Row],[cost]]*Table1[[#This Row],[quantity]]</f>
        <v>700000</v>
      </c>
      <c r="J17" s="1" t="str">
        <f>VLOOKUP(Table1[[#This Row],[order_id]],[1]!Table1[#All],5,0)</f>
        <v>Completed</v>
      </c>
      <c r="K17" s="4">
        <f>VLOOKUP(Table1[[#This Row],[order_id]],[1]!Table1[#Data],3,0)</f>
        <v>45731</v>
      </c>
      <c r="L17" s="1">
        <f>VLOOKUP(Table1[[#This Row],[order_id]],[1]!Table1[#All],2,0)</f>
        <v>8</v>
      </c>
    </row>
    <row r="18" spans="1:12" ht="28.5" x14ac:dyDescent="0.2">
      <c r="A18" s="1">
        <v>10009</v>
      </c>
      <c r="B18" s="1">
        <v>1009</v>
      </c>
      <c r="C18" s="1">
        <v>2</v>
      </c>
      <c r="D18" s="1">
        <v>250000</v>
      </c>
      <c r="E18" s="1">
        <f>Table1[[#This Row],[unit_price]]*Table1[[#This Row],[quantity]]</f>
        <v>500000</v>
      </c>
      <c r="F18" s="1" t="str">
        <f>VLOOKUP(Table1[[#This Row],[product_id]],[1]!#REF!,2,0)</f>
        <v>Water Bottle</v>
      </c>
      <c r="G18" s="1" t="str">
        <f>VLOOKUP(Table1[[#This Row],[product_id]],[1]!#REF!,3,)</f>
        <v>Home &amp; Kitchen</v>
      </c>
      <c r="H18" s="1">
        <f>VLOOKUP(Table1[[#This Row],[product_id]],[1]!#REF!,5,0)</f>
        <v>120000</v>
      </c>
      <c r="I18" s="1">
        <f>Table1[[#This Row],[revenue]]-Table1[[#This Row],[cost]]*Table1[[#This Row],[quantity]]</f>
        <v>260000</v>
      </c>
      <c r="J18" s="1" t="str">
        <f>VLOOKUP(Table1[[#This Row],[order_id]],[1]!Table1[#All],5,0)</f>
        <v>Completed</v>
      </c>
      <c r="K18" s="4">
        <f>VLOOKUP(Table1[[#This Row],[order_id]],[1]!Table1[#Data],3,0)</f>
        <v>45731</v>
      </c>
      <c r="L18" s="1">
        <f>VLOOKUP(Table1[[#This Row],[order_id]],[1]!Table1[#All],2,0)</f>
        <v>8</v>
      </c>
    </row>
    <row r="19" spans="1:12" x14ac:dyDescent="0.2">
      <c r="A19" s="1">
        <v>10010</v>
      </c>
      <c r="B19" s="1">
        <v>1010</v>
      </c>
      <c r="C19" s="1">
        <v>3</v>
      </c>
      <c r="D19" s="1">
        <v>350000</v>
      </c>
      <c r="E19" s="1">
        <f>Table1[[#This Row],[unit_price]]*Table1[[#This Row],[quantity]]</f>
        <v>1050000</v>
      </c>
      <c r="F19" s="1" t="str">
        <f>VLOOKUP(Table1[[#This Row],[product_id]],[1]!#REF!,2,0)</f>
        <v>T-Shirt</v>
      </c>
      <c r="G19" s="1" t="str">
        <f>VLOOKUP(Table1[[#This Row],[product_id]],[1]!#REF!,3,)</f>
        <v>Fashion</v>
      </c>
      <c r="H19" s="1">
        <f>VLOOKUP(Table1[[#This Row],[product_id]],[1]!#REF!,5,0)</f>
        <v>180000</v>
      </c>
      <c r="I19" s="1">
        <f>Table1[[#This Row],[revenue]]-Table1[[#This Row],[cost]]*Table1[[#This Row],[quantity]]</f>
        <v>510000</v>
      </c>
      <c r="J19" s="1" t="str">
        <f>VLOOKUP(Table1[[#This Row],[order_id]],[1]!Table1[#All],5,0)</f>
        <v>Completed</v>
      </c>
      <c r="K19" s="4">
        <f>VLOOKUP(Table1[[#This Row],[order_id]],[1]!Table1[#Data],3,0)</f>
        <v>45738</v>
      </c>
      <c r="L19" s="1">
        <f>VLOOKUP(Table1[[#This Row],[order_id]],[1]!Table1[#All],2,0)</f>
        <v>10</v>
      </c>
    </row>
    <row r="20" spans="1:12" ht="28.5" x14ac:dyDescent="0.2">
      <c r="A20" s="1">
        <v>10010</v>
      </c>
      <c r="B20" s="1">
        <v>1006</v>
      </c>
      <c r="C20" s="1">
        <v>1</v>
      </c>
      <c r="D20" s="1">
        <v>250000</v>
      </c>
      <c r="E20" s="1">
        <f>Table1[[#This Row],[unit_price]]*Table1[[#This Row],[quantity]]</f>
        <v>250000</v>
      </c>
      <c r="F20" s="1" t="str">
        <f>VLOOKUP(Table1[[#This Row],[product_id]],[1]!#REF!,2,0)</f>
        <v>Face Cleanser</v>
      </c>
      <c r="G20" s="1" t="str">
        <f>VLOOKUP(Table1[[#This Row],[product_id]],[1]!#REF!,3,)</f>
        <v>Beauty</v>
      </c>
      <c r="H20" s="1">
        <f>VLOOKUP(Table1[[#This Row],[product_id]],[1]!#REF!,5,0)</f>
        <v>120000</v>
      </c>
      <c r="I20" s="1">
        <f>Table1[[#This Row],[revenue]]-Table1[[#This Row],[cost]]*Table1[[#This Row],[quantity]]</f>
        <v>130000</v>
      </c>
      <c r="J20" s="1" t="str">
        <f>VLOOKUP(Table1[[#This Row],[order_id]],[1]!Table1[#All],5,0)</f>
        <v>Completed</v>
      </c>
      <c r="K20" s="4">
        <f>VLOOKUP(Table1[[#This Row],[order_id]],[1]!Table1[#Data],3,0)</f>
        <v>45738</v>
      </c>
      <c r="L20" s="1">
        <f>VLOOKUP(Table1[[#This Row],[order_id]],[1]!Table1[#All],2,0)</f>
        <v>10</v>
      </c>
    </row>
    <row r="21" spans="1:12" ht="28.5" x14ac:dyDescent="0.2">
      <c r="A21" s="1">
        <v>10011</v>
      </c>
      <c r="B21" s="1">
        <v>1001</v>
      </c>
      <c r="C21" s="1">
        <v>1</v>
      </c>
      <c r="D21" s="1">
        <v>15000000</v>
      </c>
      <c r="E21" s="1">
        <f>Table1[[#This Row],[unit_price]]*Table1[[#This Row],[quantity]]</f>
        <v>15000000</v>
      </c>
      <c r="F21" s="1" t="str">
        <f>VLOOKUP(Table1[[#This Row],[product_id]],[1]!#REF!,2,0)</f>
        <v>Laptop Basic</v>
      </c>
      <c r="G21" s="1" t="str">
        <f>VLOOKUP(Table1[[#This Row],[product_id]],[1]!#REF!,3,)</f>
        <v>Electronics</v>
      </c>
      <c r="H21" s="1">
        <f>VLOOKUP(Table1[[#This Row],[product_id]],[1]!#REF!,5,0)</f>
        <v>12000000</v>
      </c>
      <c r="I21" s="1">
        <f>Table1[[#This Row],[revenue]]-Table1[[#This Row],[cost]]*Table1[[#This Row],[quantity]]</f>
        <v>3000000</v>
      </c>
      <c r="J21" s="1" t="str">
        <f>VLOOKUP(Table1[[#This Row],[order_id]],[1]!Table1[#All],5,0)</f>
        <v>Completed</v>
      </c>
      <c r="K21" s="4">
        <f>VLOOKUP(Table1[[#This Row],[order_id]],[1]!Table1[#Data],3,0)</f>
        <v>45749</v>
      </c>
      <c r="L21" s="1">
        <f>VLOOKUP(Table1[[#This Row],[order_id]],[1]!Table1[#All],2,0)</f>
        <v>1</v>
      </c>
    </row>
    <row r="22" spans="1:12" ht="42.75" x14ac:dyDescent="0.2">
      <c r="A22" s="1">
        <v>10011</v>
      </c>
      <c r="B22" s="1">
        <v>1003</v>
      </c>
      <c r="C22" s="1">
        <v>1</v>
      </c>
      <c r="D22" s="1">
        <v>1200000</v>
      </c>
      <c r="E22" s="1">
        <f>Table1[[#This Row],[unit_price]]*Table1[[#This Row],[quantity]]</f>
        <v>1200000</v>
      </c>
      <c r="F22" s="1" t="str">
        <f>VLOOKUP(Table1[[#This Row],[product_id]],[1]!#REF!,2,0)</f>
        <v>Mechanical Keyboard</v>
      </c>
      <c r="G22" s="1" t="str">
        <f>VLOOKUP(Table1[[#This Row],[product_id]],[1]!#REF!,3,)</f>
        <v>Electronics</v>
      </c>
      <c r="H22" s="1">
        <f>VLOOKUP(Table1[[#This Row],[product_id]],[1]!#REF!,5,0)</f>
        <v>750000</v>
      </c>
      <c r="I22" s="1">
        <f>Table1[[#This Row],[revenue]]-Table1[[#This Row],[cost]]*Table1[[#This Row],[quantity]]</f>
        <v>450000</v>
      </c>
      <c r="J22" s="1" t="str">
        <f>VLOOKUP(Table1[[#This Row],[order_id]],[1]!Table1[#All],5,0)</f>
        <v>Completed</v>
      </c>
      <c r="K22" s="4">
        <f>VLOOKUP(Table1[[#This Row],[order_id]],[1]!Table1[#Data],3,0)</f>
        <v>45749</v>
      </c>
      <c r="L22" s="1">
        <f>VLOOKUP(Table1[[#This Row],[order_id]],[1]!Table1[#All],2,0)</f>
        <v>1</v>
      </c>
    </row>
    <row r="23" spans="1:12" ht="28.5" x14ac:dyDescent="0.2">
      <c r="A23" s="1">
        <v>10012</v>
      </c>
      <c r="B23" s="1">
        <v>1007</v>
      </c>
      <c r="C23" s="1">
        <v>2</v>
      </c>
      <c r="D23" s="1">
        <v>850000</v>
      </c>
      <c r="E23" s="1">
        <f>Table1[[#This Row],[unit_price]]*Table1[[#This Row],[quantity]]</f>
        <v>1700000</v>
      </c>
      <c r="F23" s="1" t="str">
        <f>VLOOKUP(Table1[[#This Row],[product_id]],[1]!#REF!,2,0)</f>
        <v>Skincare Set</v>
      </c>
      <c r="G23" s="1" t="str">
        <f>VLOOKUP(Table1[[#This Row],[product_id]],[1]!#REF!,3,)</f>
        <v>Beauty</v>
      </c>
      <c r="H23" s="1">
        <f>VLOOKUP(Table1[[#This Row],[product_id]],[1]!#REF!,5,0)</f>
        <v>500000</v>
      </c>
      <c r="I23" s="1">
        <f>Table1[[#This Row],[revenue]]-Table1[[#This Row],[cost]]*Table1[[#This Row],[quantity]]</f>
        <v>700000</v>
      </c>
      <c r="J23" s="1" t="str">
        <f>VLOOKUP(Table1[[#This Row],[order_id]],[1]!Table1[#All],5,0)</f>
        <v>Completed</v>
      </c>
      <c r="K23" s="4">
        <f>VLOOKUP(Table1[[#This Row],[order_id]],[1]!Table1[#Data],3,0)</f>
        <v>45757</v>
      </c>
      <c r="L23" s="1">
        <f>VLOOKUP(Table1[[#This Row],[order_id]],[1]!Table1[#All],2,0)</f>
        <v>6</v>
      </c>
    </row>
    <row r="24" spans="1:12" ht="28.5" x14ac:dyDescent="0.2">
      <c r="A24" s="1">
        <v>10012</v>
      </c>
      <c r="B24" s="1">
        <v>1006</v>
      </c>
      <c r="C24" s="1">
        <v>1</v>
      </c>
      <c r="D24" s="1">
        <v>250000</v>
      </c>
      <c r="E24" s="1">
        <f>Table1[[#This Row],[unit_price]]*Table1[[#This Row],[quantity]]</f>
        <v>250000</v>
      </c>
      <c r="F24" s="1" t="str">
        <f>VLOOKUP(Table1[[#This Row],[product_id]],[1]!#REF!,2,0)</f>
        <v>Face Cleanser</v>
      </c>
      <c r="G24" s="1" t="str">
        <f>VLOOKUP(Table1[[#This Row],[product_id]],[1]!#REF!,3,)</f>
        <v>Beauty</v>
      </c>
      <c r="H24" s="1">
        <f>VLOOKUP(Table1[[#This Row],[product_id]],[1]!#REF!,5,0)</f>
        <v>120000</v>
      </c>
      <c r="I24" s="1">
        <f>Table1[[#This Row],[revenue]]-Table1[[#This Row],[cost]]*Table1[[#This Row],[quantity]]</f>
        <v>130000</v>
      </c>
      <c r="J24" s="1" t="str">
        <f>VLOOKUP(Table1[[#This Row],[order_id]],[1]!Table1[#All],5,0)</f>
        <v>Completed</v>
      </c>
      <c r="K24" s="4">
        <f>VLOOKUP(Table1[[#This Row],[order_id]],[1]!Table1[#Data],3,0)</f>
        <v>45757</v>
      </c>
      <c r="L24" s="1">
        <f>VLOOKUP(Table1[[#This Row],[order_id]],[1]!Table1[#All],2,0)</f>
        <v>6</v>
      </c>
    </row>
    <row r="25" spans="1:12" ht="28.5" x14ac:dyDescent="0.2">
      <c r="A25" s="1">
        <v>10013</v>
      </c>
      <c r="B25" s="1">
        <v>1008</v>
      </c>
      <c r="C25" s="1">
        <v>2</v>
      </c>
      <c r="D25" s="1">
        <v>2200000</v>
      </c>
      <c r="E25" s="1">
        <f>Table1[[#This Row],[unit_price]]*Table1[[#This Row],[quantity]]</f>
        <v>4400000</v>
      </c>
      <c r="F25" s="1" t="str">
        <f>VLOOKUP(Table1[[#This Row],[product_id]],[1]!#REF!,2,0)</f>
        <v>Coffee Maker</v>
      </c>
      <c r="G25" s="1" t="str">
        <f>VLOOKUP(Table1[[#This Row],[product_id]],[1]!#REF!,3,)</f>
        <v>Home &amp; Kitchen</v>
      </c>
      <c r="H25" s="1">
        <f>VLOOKUP(Table1[[#This Row],[product_id]],[1]!#REF!,5,0)</f>
        <v>1500000</v>
      </c>
      <c r="I25" s="1">
        <f>Table1[[#This Row],[revenue]]-Table1[[#This Row],[cost]]*Table1[[#This Row],[quantity]]</f>
        <v>1400000</v>
      </c>
      <c r="J25" s="1" t="str">
        <f>VLOOKUP(Table1[[#This Row],[order_id]],[1]!Table1[#All],5,0)</f>
        <v>Completed</v>
      </c>
      <c r="K25" s="4">
        <f>VLOOKUP(Table1[[#This Row],[order_id]],[1]!Table1[#Data],3,0)</f>
        <v>45765</v>
      </c>
      <c r="L25" s="1">
        <f>VLOOKUP(Table1[[#This Row],[order_id]],[1]!Table1[#All],2,0)</f>
        <v>9</v>
      </c>
    </row>
    <row r="26" spans="1:12" ht="28.5" x14ac:dyDescent="0.2">
      <c r="A26" s="1">
        <v>10013</v>
      </c>
      <c r="B26" s="1">
        <v>1009</v>
      </c>
      <c r="C26" s="1">
        <v>1</v>
      </c>
      <c r="D26" s="1">
        <v>250000</v>
      </c>
      <c r="E26" s="1">
        <f>Table1[[#This Row],[unit_price]]*Table1[[#This Row],[quantity]]</f>
        <v>250000</v>
      </c>
      <c r="F26" s="1" t="str">
        <f>VLOOKUP(Table1[[#This Row],[product_id]],[1]!#REF!,2,0)</f>
        <v>Water Bottle</v>
      </c>
      <c r="G26" s="1" t="str">
        <f>VLOOKUP(Table1[[#This Row],[product_id]],[1]!#REF!,3,)</f>
        <v>Home &amp; Kitchen</v>
      </c>
      <c r="H26" s="1">
        <f>VLOOKUP(Table1[[#This Row],[product_id]],[1]!#REF!,5,0)</f>
        <v>120000</v>
      </c>
      <c r="I26" s="1">
        <f>Table1[[#This Row],[revenue]]-Table1[[#This Row],[cost]]*Table1[[#This Row],[quantity]]</f>
        <v>130000</v>
      </c>
      <c r="J26" s="1" t="str">
        <f>VLOOKUP(Table1[[#This Row],[order_id]],[1]!Table1[#All],5,0)</f>
        <v>Completed</v>
      </c>
      <c r="K26" s="4">
        <f>VLOOKUP(Table1[[#This Row],[order_id]],[1]!Table1[#Data],3,0)</f>
        <v>45765</v>
      </c>
      <c r="L26" s="1">
        <f>VLOOKUP(Table1[[#This Row],[order_id]],[1]!Table1[#All],2,0)</f>
        <v>9</v>
      </c>
    </row>
    <row r="27" spans="1:12" ht="28.5" x14ac:dyDescent="0.2">
      <c r="A27" s="1">
        <v>10014</v>
      </c>
      <c r="B27" s="1">
        <v>1004</v>
      </c>
      <c r="C27" s="1">
        <v>1</v>
      </c>
      <c r="D27" s="1">
        <v>1800000</v>
      </c>
      <c r="E27" s="1">
        <f>Table1[[#This Row],[unit_price]]*Table1[[#This Row],[quantity]]</f>
        <v>1800000</v>
      </c>
      <c r="F27" s="1" t="str">
        <f>VLOOKUP(Table1[[#This Row],[product_id]],[1]!#REF!,2,0)</f>
        <v>Running Shoes</v>
      </c>
      <c r="G27" s="1" t="str">
        <f>VLOOKUP(Table1[[#This Row],[product_id]],[1]!#REF!,3,)</f>
        <v>Sports</v>
      </c>
      <c r="H27" s="1">
        <f>VLOOKUP(Table1[[#This Row],[product_id]],[1]!#REF!,5,0)</f>
        <v>1100000</v>
      </c>
      <c r="I27" s="1">
        <f>Table1[[#This Row],[revenue]]-Table1[[#This Row],[cost]]*Table1[[#This Row],[quantity]]</f>
        <v>700000</v>
      </c>
      <c r="J27" s="1" t="str">
        <f>VLOOKUP(Table1[[#This Row],[order_id]],[1]!Table1[#All],5,0)</f>
        <v>Cancelled</v>
      </c>
      <c r="K27" s="4">
        <f>VLOOKUP(Table1[[#This Row],[order_id]],[1]!Table1[#Data],3,0)</f>
        <v>45782</v>
      </c>
      <c r="L27" s="1">
        <f>VLOOKUP(Table1[[#This Row],[order_id]],[1]!Table1[#All],2,0)</f>
        <v>3</v>
      </c>
    </row>
    <row r="28" spans="1:12" x14ac:dyDescent="0.2">
      <c r="A28" s="1">
        <v>10014</v>
      </c>
      <c r="B28" s="1">
        <v>1010</v>
      </c>
      <c r="C28" s="1">
        <v>2</v>
      </c>
      <c r="D28" s="1">
        <v>350000</v>
      </c>
      <c r="E28" s="1">
        <f>Table1[[#This Row],[unit_price]]*Table1[[#This Row],[quantity]]</f>
        <v>700000</v>
      </c>
      <c r="F28" s="1" t="str">
        <f>VLOOKUP(Table1[[#This Row],[product_id]],[1]!#REF!,2,0)</f>
        <v>T-Shirt</v>
      </c>
      <c r="G28" s="1" t="str">
        <f>VLOOKUP(Table1[[#This Row],[product_id]],[1]!#REF!,3,)</f>
        <v>Fashion</v>
      </c>
      <c r="H28" s="1">
        <f>VLOOKUP(Table1[[#This Row],[product_id]],[1]!#REF!,5,0)</f>
        <v>180000</v>
      </c>
      <c r="I28" s="1">
        <f>Table1[[#This Row],[revenue]]-Table1[[#This Row],[cost]]*Table1[[#This Row],[quantity]]</f>
        <v>340000</v>
      </c>
      <c r="J28" s="1" t="str">
        <f>VLOOKUP(Table1[[#This Row],[order_id]],[1]!Table1[#All],5,0)</f>
        <v>Cancelled</v>
      </c>
      <c r="K28" s="4">
        <f>VLOOKUP(Table1[[#This Row],[order_id]],[1]!Table1[#Data],3,0)</f>
        <v>45782</v>
      </c>
      <c r="L28" s="1">
        <f>VLOOKUP(Table1[[#This Row],[order_id]],[1]!Table1[#All],2,0)</f>
        <v>3</v>
      </c>
    </row>
    <row r="29" spans="1:12" ht="28.5" x14ac:dyDescent="0.2">
      <c r="A29" s="1">
        <v>10015</v>
      </c>
      <c r="B29" s="1">
        <v>1002</v>
      </c>
      <c r="C29" s="1">
        <v>2</v>
      </c>
      <c r="D29" s="1">
        <v>450000</v>
      </c>
      <c r="E29" s="1">
        <f>Table1[[#This Row],[unit_price]]*Table1[[#This Row],[quantity]]</f>
        <v>900000</v>
      </c>
      <c r="F29" s="1" t="str">
        <f>VLOOKUP(Table1[[#This Row],[product_id]],[1]!#REF!,2,0)</f>
        <v>Wireless Mouse</v>
      </c>
      <c r="G29" s="1" t="str">
        <f>VLOOKUP(Table1[[#This Row],[product_id]],[1]!#REF!,3,)</f>
        <v>Electronics</v>
      </c>
      <c r="H29" s="1">
        <f>VLOOKUP(Table1[[#This Row],[product_id]],[1]!#REF!,5,0)</f>
        <v>280000</v>
      </c>
      <c r="I29" s="1">
        <f>Table1[[#This Row],[revenue]]-Table1[[#This Row],[cost]]*Table1[[#This Row],[quantity]]</f>
        <v>340000</v>
      </c>
      <c r="J29" s="1" t="str">
        <f>VLOOKUP(Table1[[#This Row],[order_id]],[1]!Table1[#All],5,0)</f>
        <v>Completed</v>
      </c>
      <c r="K29" s="4">
        <f>VLOOKUP(Table1[[#This Row],[order_id]],[1]!Table1[#Data],3,0)</f>
        <v>45792</v>
      </c>
      <c r="L29" s="1">
        <f>VLOOKUP(Table1[[#This Row],[order_id]],[1]!Table1[#All],2,0)</f>
        <v>5</v>
      </c>
    </row>
    <row r="30" spans="1:12" x14ac:dyDescent="0.2">
      <c r="A30" s="1">
        <v>10015</v>
      </c>
      <c r="B30" s="1">
        <v>1005</v>
      </c>
      <c r="C30" s="1">
        <v>1</v>
      </c>
      <c r="D30" s="1">
        <v>350000</v>
      </c>
      <c r="E30" s="1">
        <f>Table1[[#This Row],[unit_price]]*Table1[[#This Row],[quantity]]</f>
        <v>350000</v>
      </c>
      <c r="F30" s="1" t="str">
        <f>VLOOKUP(Table1[[#This Row],[product_id]],[1]!#REF!,2,0)</f>
        <v>Yoga Mat</v>
      </c>
      <c r="G30" s="1" t="str">
        <f>VLOOKUP(Table1[[#This Row],[product_id]],[1]!#REF!,3,)</f>
        <v>Sports</v>
      </c>
      <c r="H30" s="1">
        <f>VLOOKUP(Table1[[#This Row],[product_id]],[1]!#REF!,5,0)</f>
        <v>180000</v>
      </c>
      <c r="I30" s="1">
        <f>Table1[[#This Row],[revenue]]-Table1[[#This Row],[cost]]*Table1[[#This Row],[quantity]]</f>
        <v>170000</v>
      </c>
      <c r="J30" s="1" t="str">
        <f>VLOOKUP(Table1[[#This Row],[order_id]],[1]!Table1[#All],5,0)</f>
        <v>Completed</v>
      </c>
      <c r="K30" s="4">
        <f>VLOOKUP(Table1[[#This Row],[order_id]],[1]!Table1[#Data],3,0)</f>
        <v>45792</v>
      </c>
      <c r="L30" s="1">
        <f>VLOOKUP(Table1[[#This Row],[order_id]],[1]!Table1[#All],2,0)</f>
        <v>5</v>
      </c>
    </row>
    <row r="31" spans="1:12" ht="28.5" x14ac:dyDescent="0.2">
      <c r="A31" s="1">
        <v>10015</v>
      </c>
      <c r="B31" s="1">
        <v>1007</v>
      </c>
      <c r="C31" s="1">
        <v>1</v>
      </c>
      <c r="D31" s="1">
        <v>850000</v>
      </c>
      <c r="E31" s="1">
        <f>Table1[[#This Row],[unit_price]]*Table1[[#This Row],[quantity]]</f>
        <v>850000</v>
      </c>
      <c r="F31" s="1" t="str">
        <f>VLOOKUP(Table1[[#This Row],[product_id]],[1]!#REF!,2,0)</f>
        <v>Skincare Set</v>
      </c>
      <c r="G31" s="1" t="str">
        <f>VLOOKUP(Table1[[#This Row],[product_id]],[1]!#REF!,3,)</f>
        <v>Beauty</v>
      </c>
      <c r="H31" s="1">
        <f>VLOOKUP(Table1[[#This Row],[product_id]],[1]!#REF!,5,0)</f>
        <v>500000</v>
      </c>
      <c r="I31" s="1">
        <f>Table1[[#This Row],[revenue]]-Table1[[#This Row],[cost]]*Table1[[#This Row],[quantity]]</f>
        <v>350000</v>
      </c>
      <c r="J31" s="1" t="str">
        <f>VLOOKUP(Table1[[#This Row],[order_id]],[1]!Table1[#All],5,0)</f>
        <v>Completed</v>
      </c>
      <c r="K31" s="4">
        <f>VLOOKUP(Table1[[#This Row],[order_id]],[1]!Table1[#Data],3,0)</f>
        <v>45792</v>
      </c>
      <c r="L31" s="1">
        <f>VLOOKUP(Table1[[#This Row],[order_id]],[1]!Table1[#All],2,0)</f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F769-AD6D-4539-9E9D-42539D18B9D8}">
  <dimension ref="B2:G44"/>
  <sheetViews>
    <sheetView tabSelected="1" topLeftCell="A4" zoomScale="50" zoomScaleNormal="50" workbookViewId="0">
      <selection activeCell="O23" sqref="O23"/>
    </sheetView>
  </sheetViews>
  <sheetFormatPr defaultRowHeight="14.25" x14ac:dyDescent="0.2"/>
  <cols>
    <col min="1" max="1" width="20" customWidth="1"/>
    <col min="2" max="2" width="25.125" customWidth="1"/>
    <col min="3" max="3" width="20.5" customWidth="1"/>
    <col min="4" max="4" width="23.5" bestFit="1" customWidth="1"/>
    <col min="5" max="5" width="36" customWidth="1"/>
  </cols>
  <sheetData>
    <row r="2" spans="2:7" ht="20.25" x14ac:dyDescent="0.3">
      <c r="B2" s="10" t="s">
        <v>29</v>
      </c>
      <c r="C2" s="10"/>
      <c r="D2" s="10"/>
      <c r="E2" s="10"/>
      <c r="F2" s="11"/>
      <c r="G2" s="11"/>
    </row>
    <row r="4" spans="2:7" ht="15" x14ac:dyDescent="0.25">
      <c r="B4" s="13" t="s">
        <v>30</v>
      </c>
      <c r="C4" s="13" t="s">
        <v>31</v>
      </c>
      <c r="D4" s="13" t="s">
        <v>32</v>
      </c>
      <c r="E4" s="13" t="s">
        <v>33</v>
      </c>
    </row>
    <row r="5" spans="2:7" ht="15.75" x14ac:dyDescent="0.25">
      <c r="B5" s="12">
        <f>GETPIVOTDATA("revenue",Monthly_Sales!$A$3)</f>
        <v>59750000</v>
      </c>
      <c r="C5" s="12">
        <f>GETPIVOTDATA("profit",Total_Profit!$A$3)</f>
        <v>17500000</v>
      </c>
      <c r="D5" s="12">
        <f>Average_Orders_Values!D6</f>
        <v>4596153.846153846</v>
      </c>
      <c r="E5" s="12" t="str">
        <f>Top_Product!A4</f>
        <v>Wireless Mouse</v>
      </c>
    </row>
    <row r="44" spans="2:2" x14ac:dyDescent="0.2">
      <c r="B44" t="s">
        <v>44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8D68-DED1-4347-B590-9CF863FE826B}">
  <dimension ref="A1:B4"/>
  <sheetViews>
    <sheetView workbookViewId="0">
      <selection activeCell="N16" sqref="N16"/>
    </sheetView>
  </sheetViews>
  <sheetFormatPr defaultRowHeight="14.25" x14ac:dyDescent="0.2"/>
  <cols>
    <col min="1" max="1" width="12.25" bestFit="1" customWidth="1"/>
    <col min="2" max="2" width="11.75" bestFit="1" customWidth="1"/>
  </cols>
  <sheetData>
    <row r="1" spans="1:2" x14ac:dyDescent="0.2">
      <c r="A1" s="6" t="s">
        <v>9</v>
      </c>
      <c r="B1" t="s">
        <v>19</v>
      </c>
    </row>
    <row r="3" spans="1:2" x14ac:dyDescent="0.2">
      <c r="A3" t="s">
        <v>28</v>
      </c>
    </row>
    <row r="4" spans="1:2" x14ac:dyDescent="0.2">
      <c r="A4" s="8">
        <v>17500000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537D-BBC7-4999-AE32-87B225C66A79}">
  <dimension ref="A1:D16"/>
  <sheetViews>
    <sheetView workbookViewId="0">
      <selection activeCell="H6" sqref="H6"/>
    </sheetView>
  </sheetViews>
  <sheetFormatPr defaultRowHeight="14.25" x14ac:dyDescent="0.2"/>
  <cols>
    <col min="1" max="1" width="13.125" bestFit="1" customWidth="1"/>
    <col min="2" max="2" width="15.125" bestFit="1" customWidth="1"/>
    <col min="3" max="3" width="21" bestFit="1" customWidth="1"/>
  </cols>
  <sheetData>
    <row r="1" spans="1:4" x14ac:dyDescent="0.2">
      <c r="A1" s="6" t="s">
        <v>9</v>
      </c>
      <c r="B1" t="s">
        <v>19</v>
      </c>
    </row>
    <row r="3" spans="1:4" x14ac:dyDescent="0.2">
      <c r="A3" s="6" t="s">
        <v>11</v>
      </c>
      <c r="B3" t="s">
        <v>18</v>
      </c>
    </row>
    <row r="4" spans="1:4" x14ac:dyDescent="0.2">
      <c r="A4" s="7">
        <v>10001</v>
      </c>
      <c r="B4" s="8">
        <v>15900000</v>
      </c>
    </row>
    <row r="5" spans="1:4" x14ac:dyDescent="0.2">
      <c r="A5" s="7">
        <v>10002</v>
      </c>
      <c r="B5" s="8">
        <v>2500000</v>
      </c>
    </row>
    <row r="6" spans="1:4" x14ac:dyDescent="0.2">
      <c r="A6" s="7">
        <v>10003</v>
      </c>
      <c r="B6" s="8">
        <v>2950000</v>
      </c>
      <c r="C6" s="9" t="s">
        <v>27</v>
      </c>
      <c r="D6" s="9">
        <f>AVERAGE(B4:B16)</f>
        <v>4596153.846153846</v>
      </c>
    </row>
    <row r="7" spans="1:4" x14ac:dyDescent="0.2">
      <c r="A7" s="7">
        <v>10004</v>
      </c>
      <c r="B7" s="8">
        <v>1650000</v>
      </c>
    </row>
    <row r="8" spans="1:4" x14ac:dyDescent="0.2">
      <c r="A8" s="7">
        <v>10005</v>
      </c>
      <c r="B8" s="8">
        <v>1350000</v>
      </c>
    </row>
    <row r="9" spans="1:4" x14ac:dyDescent="0.2">
      <c r="A9" s="7">
        <v>10007</v>
      </c>
      <c r="B9" s="8">
        <v>3950000</v>
      </c>
    </row>
    <row r="10" spans="1:4" x14ac:dyDescent="0.2">
      <c r="A10" s="7">
        <v>10008</v>
      </c>
      <c r="B10" s="8">
        <v>2550000</v>
      </c>
    </row>
    <row r="11" spans="1:4" x14ac:dyDescent="0.2">
      <c r="A11" s="7">
        <v>10009</v>
      </c>
      <c r="B11" s="8">
        <v>2700000</v>
      </c>
    </row>
    <row r="12" spans="1:4" x14ac:dyDescent="0.2">
      <c r="A12" s="7">
        <v>10010</v>
      </c>
      <c r="B12" s="8">
        <v>1300000</v>
      </c>
    </row>
    <row r="13" spans="1:4" x14ac:dyDescent="0.2">
      <c r="A13" s="7">
        <v>10011</v>
      </c>
      <c r="B13" s="8">
        <v>16200000</v>
      </c>
    </row>
    <row r="14" spans="1:4" x14ac:dyDescent="0.2">
      <c r="A14" s="7">
        <v>10012</v>
      </c>
      <c r="B14" s="8">
        <v>1950000</v>
      </c>
    </row>
    <row r="15" spans="1:4" x14ac:dyDescent="0.2">
      <c r="A15" s="7">
        <v>10013</v>
      </c>
      <c r="B15" s="8">
        <v>4650000</v>
      </c>
    </row>
    <row r="16" spans="1:4" x14ac:dyDescent="0.2">
      <c r="A16" s="7">
        <v>10015</v>
      </c>
      <c r="B16" s="8">
        <v>2100000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6931-8483-4A40-A0E7-3841303D337B}">
  <dimension ref="A1:B9"/>
  <sheetViews>
    <sheetView workbookViewId="0">
      <selection activeCell="K8" sqref="K8"/>
    </sheetView>
  </sheetViews>
  <sheetFormatPr defaultRowHeight="14.25" x14ac:dyDescent="0.2"/>
  <cols>
    <col min="1" max="1" width="14.25" bestFit="1" customWidth="1"/>
    <col min="2" max="2" width="15.125" bestFit="1" customWidth="1"/>
  </cols>
  <sheetData>
    <row r="1" spans="1:2" x14ac:dyDescent="0.2">
      <c r="A1" s="6" t="s">
        <v>9</v>
      </c>
      <c r="B1" t="s">
        <v>19</v>
      </c>
    </row>
    <row r="3" spans="1:2" x14ac:dyDescent="0.2">
      <c r="A3" s="6" t="s">
        <v>11</v>
      </c>
      <c r="B3" t="s">
        <v>18</v>
      </c>
    </row>
    <row r="4" spans="1:2" x14ac:dyDescent="0.2">
      <c r="A4" s="7" t="s">
        <v>23</v>
      </c>
      <c r="B4">
        <v>37200000</v>
      </c>
    </row>
    <row r="5" spans="1:2" x14ac:dyDescent="0.2">
      <c r="A5" s="7" t="s">
        <v>25</v>
      </c>
      <c r="B5">
        <v>10300000</v>
      </c>
    </row>
    <row r="6" spans="1:2" x14ac:dyDescent="0.2">
      <c r="A6" s="7" t="s">
        <v>26</v>
      </c>
      <c r="B6">
        <v>6800000</v>
      </c>
    </row>
    <row r="7" spans="1:2" x14ac:dyDescent="0.2">
      <c r="A7" s="7" t="s">
        <v>22</v>
      </c>
      <c r="B7">
        <v>4400000</v>
      </c>
    </row>
    <row r="8" spans="1:2" x14ac:dyDescent="0.2">
      <c r="A8" s="7" t="s">
        <v>24</v>
      </c>
      <c r="B8">
        <v>1050000</v>
      </c>
    </row>
    <row r="9" spans="1:2" x14ac:dyDescent="0.2">
      <c r="A9" s="7" t="s">
        <v>12</v>
      </c>
      <c r="B9">
        <v>59750000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2340-DF53-47D8-B931-5282C24871A3}">
  <dimension ref="A1:B9"/>
  <sheetViews>
    <sheetView topLeftCell="A4" workbookViewId="0">
      <selection activeCell="A3" sqref="A3:B8"/>
    </sheetView>
  </sheetViews>
  <sheetFormatPr defaultRowHeight="14.25" x14ac:dyDescent="0.2"/>
  <cols>
    <col min="1" max="1" width="13.125" bestFit="1" customWidth="1"/>
    <col min="2" max="2" width="15.125" bestFit="1" customWidth="1"/>
  </cols>
  <sheetData>
    <row r="1" spans="1:2" x14ac:dyDescent="0.2">
      <c r="A1" s="6" t="s">
        <v>9</v>
      </c>
      <c r="B1" t="s">
        <v>19</v>
      </c>
    </row>
    <row r="3" spans="1:2" x14ac:dyDescent="0.2">
      <c r="A3" s="6" t="s">
        <v>11</v>
      </c>
      <c r="B3" t="s">
        <v>18</v>
      </c>
    </row>
    <row r="4" spans="1:2" x14ac:dyDescent="0.2">
      <c r="A4" s="7" t="s">
        <v>13</v>
      </c>
      <c r="B4">
        <v>21350000</v>
      </c>
    </row>
    <row r="5" spans="1:2" x14ac:dyDescent="0.2">
      <c r="A5" s="7" t="s">
        <v>14</v>
      </c>
      <c r="B5">
        <v>3000000</v>
      </c>
    </row>
    <row r="6" spans="1:2" x14ac:dyDescent="0.2">
      <c r="A6" s="7" t="s">
        <v>15</v>
      </c>
      <c r="B6">
        <v>10500000</v>
      </c>
    </row>
    <row r="7" spans="1:2" x14ac:dyDescent="0.2">
      <c r="A7" s="7" t="s">
        <v>16</v>
      </c>
      <c r="B7">
        <v>22800000</v>
      </c>
    </row>
    <row r="8" spans="1:2" x14ac:dyDescent="0.2">
      <c r="A8" s="7" t="s">
        <v>17</v>
      </c>
      <c r="B8">
        <v>2100000</v>
      </c>
    </row>
    <row r="9" spans="1:2" x14ac:dyDescent="0.2">
      <c r="A9" s="7" t="s">
        <v>12</v>
      </c>
      <c r="B9">
        <v>59750000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0A87-5991-4C6C-A78D-B623020C5FCE}">
  <dimension ref="A1:B14"/>
  <sheetViews>
    <sheetView workbookViewId="0">
      <selection activeCell="H16" sqref="H16"/>
    </sheetView>
  </sheetViews>
  <sheetFormatPr defaultRowHeight="14.25" x14ac:dyDescent="0.2"/>
  <cols>
    <col min="1" max="1" width="18.5" bestFit="1" customWidth="1"/>
    <col min="2" max="2" width="14.625" bestFit="1" customWidth="1"/>
    <col min="3" max="4" width="1.875" bestFit="1" customWidth="1"/>
    <col min="5" max="5" width="11.375" bestFit="1" customWidth="1"/>
    <col min="6" max="6" width="7.875" bestFit="1" customWidth="1"/>
    <col min="7" max="7" width="9.875" bestFit="1" customWidth="1"/>
    <col min="8" max="8" width="7.875" bestFit="1" customWidth="1"/>
    <col min="9" max="9" width="9.875" bestFit="1" customWidth="1"/>
    <col min="10" max="11" width="7.875" bestFit="1" customWidth="1"/>
    <col min="12" max="12" width="9.875" bestFit="1" customWidth="1"/>
    <col min="13" max="14" width="6.875" bestFit="1" customWidth="1"/>
    <col min="15" max="15" width="9.875" bestFit="1" customWidth="1"/>
    <col min="16" max="17" width="6.875" bestFit="1" customWidth="1"/>
    <col min="18" max="18" width="9.875" bestFit="1" customWidth="1"/>
    <col min="19" max="20" width="7.875" bestFit="1" customWidth="1"/>
    <col min="21" max="21" width="9.875" bestFit="1" customWidth="1"/>
    <col min="22" max="23" width="7.875" bestFit="1" customWidth="1"/>
    <col min="24" max="24" width="9.875" bestFit="1" customWidth="1"/>
    <col min="25" max="27" width="6.875" bestFit="1" customWidth="1"/>
    <col min="28" max="28" width="9.875" bestFit="1" customWidth="1"/>
    <col min="29" max="29" width="7.875" bestFit="1" customWidth="1"/>
    <col min="30" max="30" width="9.875" bestFit="1" customWidth="1"/>
    <col min="31" max="31" width="11.375" bestFit="1" customWidth="1"/>
  </cols>
  <sheetData>
    <row r="1" spans="1:2" x14ac:dyDescent="0.2">
      <c r="A1" s="6" t="s">
        <v>9</v>
      </c>
      <c r="B1" t="s">
        <v>19</v>
      </c>
    </row>
    <row r="3" spans="1:2" x14ac:dyDescent="0.2">
      <c r="A3" s="6" t="s">
        <v>11</v>
      </c>
      <c r="B3" t="s">
        <v>20</v>
      </c>
    </row>
    <row r="4" spans="1:2" x14ac:dyDescent="0.2">
      <c r="A4" s="7" t="s">
        <v>38</v>
      </c>
      <c r="B4" s="8">
        <v>8</v>
      </c>
    </row>
    <row r="5" spans="1:2" x14ac:dyDescent="0.2">
      <c r="A5" s="7" t="s">
        <v>40</v>
      </c>
      <c r="B5" s="8">
        <v>6</v>
      </c>
    </row>
    <row r="6" spans="1:2" x14ac:dyDescent="0.2">
      <c r="A6" s="7" t="s">
        <v>39</v>
      </c>
      <c r="B6" s="8">
        <v>4</v>
      </c>
    </row>
    <row r="7" spans="1:2" x14ac:dyDescent="0.2">
      <c r="A7" s="7" t="s">
        <v>43</v>
      </c>
      <c r="B7" s="8">
        <v>4</v>
      </c>
    </row>
    <row r="8" spans="1:2" x14ac:dyDescent="0.2">
      <c r="A8" s="7" t="s">
        <v>41</v>
      </c>
      <c r="B8" s="8">
        <v>4</v>
      </c>
    </row>
    <row r="9" spans="1:2" x14ac:dyDescent="0.2">
      <c r="A9" s="7" t="s">
        <v>35</v>
      </c>
      <c r="B9" s="8">
        <v>4</v>
      </c>
    </row>
    <row r="10" spans="1:2" x14ac:dyDescent="0.2">
      <c r="A10" s="7" t="s">
        <v>42</v>
      </c>
      <c r="B10" s="8">
        <v>3</v>
      </c>
    </row>
    <row r="11" spans="1:2" x14ac:dyDescent="0.2">
      <c r="A11" s="7" t="s">
        <v>37</v>
      </c>
      <c r="B11" s="8">
        <v>3</v>
      </c>
    </row>
    <row r="12" spans="1:2" x14ac:dyDescent="0.2">
      <c r="A12" s="7" t="s">
        <v>36</v>
      </c>
      <c r="B12" s="8">
        <v>3</v>
      </c>
    </row>
    <row r="13" spans="1:2" x14ac:dyDescent="0.2">
      <c r="A13" s="7" t="s">
        <v>34</v>
      </c>
      <c r="B13" s="8">
        <v>2</v>
      </c>
    </row>
    <row r="14" spans="1:2" x14ac:dyDescent="0.2">
      <c r="A14" s="7" t="s">
        <v>12</v>
      </c>
      <c r="B14" s="8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3DA-D99A-46CD-AD23-B6C04EF5FAD0}">
  <dimension ref="A1:B14"/>
  <sheetViews>
    <sheetView workbookViewId="0">
      <selection activeCell="F18" sqref="F18"/>
    </sheetView>
  </sheetViews>
  <sheetFormatPr defaultRowHeight="14.25" x14ac:dyDescent="0.2"/>
  <cols>
    <col min="1" max="1" width="18.5" bestFit="1" customWidth="1"/>
    <col min="2" max="2" width="15.125" bestFit="1" customWidth="1"/>
  </cols>
  <sheetData>
    <row r="1" spans="1:2" x14ac:dyDescent="0.2">
      <c r="A1" s="6" t="s">
        <v>9</v>
      </c>
      <c r="B1" t="s">
        <v>19</v>
      </c>
    </row>
    <row r="3" spans="1:2" x14ac:dyDescent="0.2">
      <c r="A3" s="6" t="s">
        <v>11</v>
      </c>
      <c r="B3" t="s">
        <v>18</v>
      </c>
    </row>
    <row r="4" spans="1:2" x14ac:dyDescent="0.2">
      <c r="A4" s="7" t="s">
        <v>34</v>
      </c>
      <c r="B4" s="8">
        <v>30000000</v>
      </c>
    </row>
    <row r="5" spans="1:2" x14ac:dyDescent="0.2">
      <c r="A5" s="7" t="s">
        <v>35</v>
      </c>
      <c r="B5" s="8">
        <v>8800000</v>
      </c>
    </row>
    <row r="6" spans="1:2" x14ac:dyDescent="0.2">
      <c r="A6" s="7" t="s">
        <v>36</v>
      </c>
      <c r="B6" s="8">
        <v>5400000</v>
      </c>
    </row>
    <row r="7" spans="1:2" x14ac:dyDescent="0.2">
      <c r="A7" s="7" t="s">
        <v>38</v>
      </c>
      <c r="B7" s="8">
        <v>3600000</v>
      </c>
    </row>
    <row r="8" spans="1:2" x14ac:dyDescent="0.2">
      <c r="A8" s="7" t="s">
        <v>37</v>
      </c>
      <c r="B8" s="8">
        <v>3600000</v>
      </c>
    </row>
    <row r="9" spans="1:2" x14ac:dyDescent="0.2">
      <c r="A9" s="7" t="s">
        <v>39</v>
      </c>
      <c r="B9" s="8">
        <v>3400000</v>
      </c>
    </row>
    <row r="10" spans="1:2" x14ac:dyDescent="0.2">
      <c r="A10" s="7" t="s">
        <v>40</v>
      </c>
      <c r="B10" s="8">
        <v>1500000</v>
      </c>
    </row>
    <row r="11" spans="1:2" x14ac:dyDescent="0.2">
      <c r="A11" s="7" t="s">
        <v>41</v>
      </c>
      <c r="B11" s="8">
        <v>1400000</v>
      </c>
    </row>
    <row r="12" spans="1:2" x14ac:dyDescent="0.2">
      <c r="A12" s="7" t="s">
        <v>42</v>
      </c>
      <c r="B12" s="8">
        <v>1050000</v>
      </c>
    </row>
    <row r="13" spans="1:2" x14ac:dyDescent="0.2">
      <c r="A13" s="7" t="s">
        <v>43</v>
      </c>
      <c r="B13" s="8">
        <v>1000000</v>
      </c>
    </row>
    <row r="14" spans="1:2" x14ac:dyDescent="0.2">
      <c r="A14" s="7" t="s">
        <v>12</v>
      </c>
      <c r="B14" s="8">
        <v>59750000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2045-FA6E-4974-B31F-7C38B7F6B0AC}">
  <dimension ref="A1:B13"/>
  <sheetViews>
    <sheetView workbookViewId="0">
      <selection activeCell="B26" sqref="B26"/>
    </sheetView>
  </sheetViews>
  <sheetFormatPr defaultRowHeight="14.25" x14ac:dyDescent="0.2"/>
  <cols>
    <col min="1" max="1" width="13.125" bestFit="1" customWidth="1"/>
    <col min="2" max="2" width="15.125" bestFit="1" customWidth="1"/>
  </cols>
  <sheetData>
    <row r="1" spans="1:2" x14ac:dyDescent="0.2">
      <c r="A1" s="6" t="s">
        <v>9</v>
      </c>
      <c r="B1" t="s">
        <v>19</v>
      </c>
    </row>
    <row r="3" spans="1:2" x14ac:dyDescent="0.2">
      <c r="A3" s="6" t="s">
        <v>11</v>
      </c>
      <c r="B3" t="s">
        <v>18</v>
      </c>
    </row>
    <row r="4" spans="1:2" x14ac:dyDescent="0.2">
      <c r="A4" s="7">
        <v>1</v>
      </c>
      <c r="B4">
        <v>33750000</v>
      </c>
    </row>
    <row r="5" spans="1:2" x14ac:dyDescent="0.2">
      <c r="A5" s="7">
        <v>2</v>
      </c>
      <c r="B5">
        <v>5500000</v>
      </c>
    </row>
    <row r="6" spans="1:2" x14ac:dyDescent="0.2">
      <c r="A6" s="7">
        <v>9</v>
      </c>
      <c r="B6">
        <v>4650000</v>
      </c>
    </row>
    <row r="7" spans="1:2" x14ac:dyDescent="0.2">
      <c r="A7" s="7">
        <v>7</v>
      </c>
      <c r="B7">
        <v>3950000</v>
      </c>
    </row>
    <row r="8" spans="1:2" x14ac:dyDescent="0.2">
      <c r="A8" s="7">
        <v>5</v>
      </c>
      <c r="B8">
        <v>3450000</v>
      </c>
    </row>
    <row r="9" spans="1:2" x14ac:dyDescent="0.2">
      <c r="A9" s="7">
        <v>8</v>
      </c>
      <c r="B9">
        <v>2700000</v>
      </c>
    </row>
    <row r="10" spans="1:2" x14ac:dyDescent="0.2">
      <c r="A10" s="7">
        <v>3</v>
      </c>
      <c r="B10">
        <v>2500000</v>
      </c>
    </row>
    <row r="11" spans="1:2" x14ac:dyDescent="0.2">
      <c r="A11" s="7">
        <v>6</v>
      </c>
      <c r="B11">
        <v>1950000</v>
      </c>
    </row>
    <row r="12" spans="1:2" x14ac:dyDescent="0.2">
      <c r="A12" s="7">
        <v>10</v>
      </c>
      <c r="B12">
        <v>1300000</v>
      </c>
    </row>
    <row r="13" spans="1:2" x14ac:dyDescent="0.2">
      <c r="A13" s="7" t="s">
        <v>12</v>
      </c>
      <c r="B13">
        <v>59750000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Orders_Details</vt:lpstr>
      <vt:lpstr>Dashboard</vt:lpstr>
      <vt:lpstr>Total_Profit</vt:lpstr>
      <vt:lpstr>Average_Orders_Values</vt:lpstr>
      <vt:lpstr>Category_Performance</vt:lpstr>
      <vt:lpstr>Monthly_Sales</vt:lpstr>
      <vt:lpstr>Top_Product</vt:lpstr>
      <vt:lpstr>Product_Revenue</vt:lpstr>
      <vt:lpstr>Customer_Revenue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Trần Lê Hà</dc:creator>
  <cp:lastModifiedBy>Linh Trần Lê Hà</cp:lastModifiedBy>
  <dcterms:created xsi:type="dcterms:W3CDTF">2026-10-05T09:33:42Z</dcterms:created>
  <dcterms:modified xsi:type="dcterms:W3CDTF">2026-10-08T09:46:00Z</dcterms:modified>
</cp:coreProperties>
</file>